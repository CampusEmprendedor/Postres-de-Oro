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Escritorio\PROYECTOS\Ventas Digitales\Imagenes Recetas\"/>
    </mc:Choice>
  </mc:AlternateContent>
  <bookViews>
    <workbookView xWindow="0" yWindow="0" windowWidth="16380" windowHeight="8190" tabRatio="500" activeTab="2"/>
  </bookViews>
  <sheets>
    <sheet name="Instrucciones" sheetId="1" r:id="rId1"/>
    <sheet name="Calculadora de Precios" sheetId="2" r:id="rId2"/>
    <sheet name="Detalle de Ingredientes" sheetId="3" r:id="rId3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36" i="2" l="1"/>
  <c r="E34" i="2"/>
  <c r="G34" i="2" s="1"/>
  <c r="H34" i="2" s="1"/>
  <c r="I34" i="2" s="1"/>
  <c r="E33" i="2"/>
  <c r="G33" i="2" s="1"/>
  <c r="H33" i="2" s="1"/>
  <c r="I33" i="2" s="1"/>
  <c r="E32" i="2"/>
  <c r="G32" i="2" s="1"/>
  <c r="H32" i="2" s="1"/>
  <c r="I32" i="2" s="1"/>
  <c r="E31" i="2"/>
  <c r="G31" i="2" s="1"/>
  <c r="H31" i="2" s="1"/>
  <c r="I31" i="2" s="1"/>
  <c r="E30" i="2"/>
  <c r="G30" i="2" s="1"/>
  <c r="H30" i="2" s="1"/>
  <c r="I30" i="2" s="1"/>
  <c r="E29" i="2"/>
  <c r="G29" i="2" s="1"/>
  <c r="H29" i="2" s="1"/>
  <c r="I29" i="2" s="1"/>
  <c r="E28" i="2"/>
  <c r="G28" i="2" s="1"/>
  <c r="H28" i="2" s="1"/>
  <c r="I28" i="2" s="1"/>
  <c r="E27" i="2"/>
  <c r="G27" i="2" s="1"/>
  <c r="H27" i="2" s="1"/>
  <c r="I27" i="2" s="1"/>
  <c r="E26" i="2"/>
  <c r="G26" i="2" s="1"/>
  <c r="H26" i="2" s="1"/>
  <c r="I26" i="2" s="1"/>
  <c r="E25" i="2"/>
  <c r="G25" i="2" s="1"/>
  <c r="H25" i="2" s="1"/>
  <c r="I25" i="2" s="1"/>
  <c r="E24" i="2"/>
  <c r="G24" i="2" s="1"/>
  <c r="H24" i="2" s="1"/>
  <c r="I24" i="2" s="1"/>
  <c r="E23" i="2"/>
  <c r="G23" i="2" s="1"/>
  <c r="H23" i="2" s="1"/>
  <c r="I23" i="2" s="1"/>
  <c r="E22" i="2"/>
  <c r="G22" i="2" s="1"/>
  <c r="H22" i="2" s="1"/>
  <c r="I22" i="2" s="1"/>
  <c r="E21" i="2"/>
  <c r="G21" i="2" s="1"/>
  <c r="H21" i="2" s="1"/>
  <c r="I21" i="2" s="1"/>
  <c r="E20" i="2"/>
  <c r="G20" i="2" s="1"/>
  <c r="H20" i="2" s="1"/>
  <c r="I20" i="2" s="1"/>
  <c r="E19" i="2"/>
  <c r="G19" i="2" s="1"/>
  <c r="H19" i="2" s="1"/>
  <c r="I19" i="2" s="1"/>
  <c r="E18" i="2"/>
  <c r="G18" i="2" s="1"/>
  <c r="H18" i="2" s="1"/>
  <c r="I18" i="2" s="1"/>
  <c r="E17" i="2"/>
  <c r="G17" i="2" s="1"/>
  <c r="H17" i="2" s="1"/>
  <c r="I17" i="2" s="1"/>
  <c r="E16" i="2"/>
  <c r="G16" i="2" s="1"/>
  <c r="H16" i="2" s="1"/>
  <c r="I16" i="2" s="1"/>
  <c r="E15" i="2"/>
  <c r="G15" i="2" s="1"/>
  <c r="H15" i="2" s="1"/>
  <c r="I15" i="2" s="1"/>
  <c r="E14" i="2"/>
  <c r="G14" i="2" s="1"/>
  <c r="H14" i="2" s="1"/>
  <c r="I14" i="2" s="1"/>
  <c r="E13" i="2"/>
  <c r="G13" i="2" s="1"/>
  <c r="H13" i="2" s="1"/>
  <c r="I13" i="2" s="1"/>
  <c r="E12" i="2"/>
  <c r="G12" i="2" s="1"/>
  <c r="H12" i="2" s="1"/>
  <c r="I12" i="2" s="1"/>
  <c r="E11" i="2"/>
  <c r="G11" i="2" s="1"/>
  <c r="H11" i="2" s="1"/>
  <c r="I11" i="2" s="1"/>
  <c r="E10" i="2"/>
  <c r="G10" i="2" s="1"/>
  <c r="H10" i="2" s="1"/>
  <c r="I10" i="2" s="1"/>
  <c r="E9" i="2"/>
  <c r="G9" i="2" s="1"/>
  <c r="H9" i="2" s="1"/>
  <c r="I9" i="2" s="1"/>
  <c r="E8" i="2"/>
  <c r="G8" i="2" s="1"/>
  <c r="H8" i="2" s="1"/>
  <c r="I8" i="2" s="1"/>
  <c r="E7" i="2"/>
  <c r="G7" i="2" s="1"/>
  <c r="H7" i="2" s="1"/>
  <c r="I7" i="2" s="1"/>
  <c r="E6" i="2"/>
  <c r="G6" i="2" s="1"/>
  <c r="H6" i="2" s="1"/>
  <c r="I6" i="2" s="1"/>
  <c r="E5" i="2"/>
  <c r="G5" i="2" s="1"/>
  <c r="H5" i="2" s="1"/>
  <c r="I5" i="2" s="1"/>
  <c r="E4" i="2"/>
  <c r="G4" i="2" s="1"/>
  <c r="H4" i="2" s="1"/>
  <c r="I4" i="2" s="1"/>
  <c r="E3" i="2"/>
  <c r="G3" i="2" s="1"/>
  <c r="H3" i="2" s="1"/>
  <c r="I3" i="2" s="1"/>
</calcChain>
</file>

<file path=xl/sharedStrings.xml><?xml version="1.0" encoding="utf-8"?>
<sst xmlns="http://schemas.openxmlformats.org/spreadsheetml/2006/main" count="1132" uniqueCount="372">
  <si>
    <t>Calculadora de Costos y Precios — Postres de Oro</t>
  </si>
  <si>
    <t>Bono 2: calculá cuánto te cuesta cada receta y a qué precio conviene venderla.</t>
  </si>
  <si>
    <t>Cómo usar esta planilla</t>
  </si>
  <si>
    <t>1. Andá a la pestaña 'Calculadora de Precios'.</t>
  </si>
  <si>
    <t>2. En la columna 'Costo total de ingredientes ($)' (celdas amarillas), cargá cuánto gastaste en total para preparar esa receta completa (todos los ingredientes de la lista).</t>
  </si>
  <si>
    <t>3. Revisá la columna 'Rendimiento (unidades)' (celda amarilla) — viene precargada con un valor sugerido, pero ajustala según el tamaño real de tus porciones.</t>
  </si>
  <si>
    <t>4. Ajustá el 'Margen deseado (%)' (celda amarilla) si querés ganar más o menos sobre el costo. Viene precargado en 150%, un margen típico para venta de postres artesanales.</t>
  </si>
  <si>
    <t>5. La planilla calcula sola: costo por unidad, precio de venta sugerido (redondeado), ganancia por unidad y ganancia total del lote.</t>
  </si>
  <si>
    <t>Referencia de colores</t>
  </si>
  <si>
    <t>Celdas amarillas = las tenés que completar vos (costo de ingredientes, rendimiento, margen).</t>
  </si>
  <si>
    <t>Celdas blancas con texto negro = se calculan solas, no las edites.</t>
  </si>
  <si>
    <t>Otras pestañas</t>
  </si>
  <si>
    <t>'Detalle de Ingredientes' — lista todos los ingredientes de cada una de las 32 recetas, para que sepas qué precios tenés que averiguar.</t>
  </si>
  <si>
    <t>Nº</t>
  </si>
  <si>
    <t>Receta</t>
  </si>
  <si>
    <t>Rendimiento
(unidades)</t>
  </si>
  <si>
    <t>Costo total
ingredientes ($)</t>
  </si>
  <si>
    <t>Costo por
unidad ($)</t>
  </si>
  <si>
    <t>Margen
deseado (%)</t>
  </si>
  <si>
    <t>Precio de venta
sugerido ($)</t>
  </si>
  <si>
    <t>Ganancia por
unidad ($)</t>
  </si>
  <si>
    <t>Ganancia total
del lote ($)</t>
  </si>
  <si>
    <t>Choco Flan</t>
  </si>
  <si>
    <t>Torta Ángel</t>
  </si>
  <si>
    <t>Arrollado de Crema de Naranja y Fruta Fresca</t>
  </si>
  <si>
    <t>Waffles</t>
  </si>
  <si>
    <t>Mousse de Chocolate</t>
  </si>
  <si>
    <t>Tiramisú en Fuente</t>
  </si>
  <si>
    <t>Frambuesas Bañadas en Chocolates</t>
  </si>
  <si>
    <t>Budín de Pan</t>
  </si>
  <si>
    <t>Alfajor de Nuez Helado</t>
  </si>
  <si>
    <t>Postre Borrachito</t>
  </si>
  <si>
    <t>Isla Flotante</t>
  </si>
  <si>
    <t>Sopa Inglesa con Dulce de Leche</t>
  </si>
  <si>
    <t>Turrón de Yemas</t>
  </si>
  <si>
    <t>Torta de Chocolate, Frutos Secos y Coco</t>
  </si>
  <si>
    <t>Torta de Banana y Crema de Maní</t>
  </si>
  <si>
    <t>Panqueques Rellenos con Arándanos</t>
  </si>
  <si>
    <t>Barritas de Cereal con Chocolate</t>
  </si>
  <si>
    <t>Budín de Banana, Chocolate y Nuez</t>
  </si>
  <si>
    <t>Macaron de Dulce de Leche</t>
  </si>
  <si>
    <t>La Mejor Receta de Alfajores de Maicena</t>
  </si>
  <si>
    <t>Tarta de Coco y Dulce de Leche</t>
  </si>
  <si>
    <t>Torta de Chocolate Blanco, Coco y Ciruelas</t>
  </si>
  <si>
    <t>Pan Dulce (receta de Mauricio Asta)</t>
  </si>
  <si>
    <t>Selva Negra Desnuda (receta de Mirta Carabajal)</t>
  </si>
  <si>
    <t>Bocaditos de Maní y Dulce de Leche Caseros</t>
  </si>
  <si>
    <t>Torta Invertida de Ananá</t>
  </si>
  <si>
    <t>Torta Arcoíris Frutal (receta de Mirta Carabajal)</t>
  </si>
  <si>
    <t>Cocadas Bañadas Rápidas para el Mate</t>
  </si>
  <si>
    <t>Pepas de la Abuela para el Mate</t>
  </si>
  <si>
    <t>Cocadas Bañadas en Chocolate en 5 Minutos</t>
  </si>
  <si>
    <t>Anillo de Mandarina (receta de Claribel Medina)</t>
  </si>
  <si>
    <t>Pastafrola de Membrillo (receta de José María Muscari)</t>
  </si>
  <si>
    <t>TOTAL (si vendés 1 lote de cada receta)</t>
  </si>
  <si>
    <t>Celdas amarillas = completá vos. Celdas blancas = se calculan solas.</t>
  </si>
  <si>
    <t>Grupo</t>
  </si>
  <si>
    <t>Ingrediente</t>
  </si>
  <si>
    <t>Caramelo</t>
  </si>
  <si>
    <t>Agua 50 cc</t>
  </si>
  <si>
    <t>Azúcar 150 g</t>
  </si>
  <si>
    <t>Capa de chocolate</t>
  </si>
  <si>
    <t>Azúcar 125 g</t>
  </si>
  <si>
    <t>Chocolate semiamargo fundido 125 g</t>
  </si>
  <si>
    <t>Huevos 3 unid.</t>
  </si>
  <si>
    <t>Harina 0000 80 g</t>
  </si>
  <si>
    <t>Manteca 125 g</t>
  </si>
  <si>
    <t>Capa de vainilla</t>
  </si>
  <si>
    <t>Leche 395 cc</t>
  </si>
  <si>
    <t>Leche condensada 395 cc</t>
  </si>
  <si>
    <t>Huevos 6 unid.</t>
  </si>
  <si>
    <t>Esencia de vainilla, c/n</t>
  </si>
  <si>
    <t>Masa</t>
  </si>
  <si>
    <t>Claras de huevo 12 unid.</t>
  </si>
  <si>
    <t>Almidón de maíz 50 g</t>
  </si>
  <si>
    <t>Azúcar 300 g</t>
  </si>
  <si>
    <t>Sal ½ cdta</t>
  </si>
  <si>
    <t>Esencia de vainilla 1 cdta</t>
  </si>
  <si>
    <t>Jugo de limón 2 cdas</t>
  </si>
  <si>
    <t>Agua 1 cda</t>
  </si>
  <si>
    <t>Ralladura de limón, c/n</t>
  </si>
  <si>
    <t>Relleno y cobertura</t>
  </si>
  <si>
    <t>Crema de leche 270 g</t>
  </si>
  <si>
    <t>Ralladura de limón 1 unid.</t>
  </si>
  <si>
    <t>Azúcar impalpable 50 g</t>
  </si>
  <si>
    <t>Queso crema firme 130 g</t>
  </si>
  <si>
    <t>Chocolate blanco derretido 300 g</t>
  </si>
  <si>
    <t>Frutas frescas a gusto (frutillas, cerezas, pelones)</t>
  </si>
  <si>
    <t>Coco rallado extra fino, c/n</t>
  </si>
  <si>
    <t>Coco en escamas, c/n</t>
  </si>
  <si>
    <t>Clara de huevo 1 unid.</t>
  </si>
  <si>
    <t>Azúcar impalpable 1 taza (para las escamas)</t>
  </si>
  <si>
    <t>Biscuit de plancha</t>
  </si>
  <si>
    <t>Yemas 5 unid.</t>
  </si>
  <si>
    <t>Azúcar 60 g</t>
  </si>
  <si>
    <t>Miel 15 g</t>
  </si>
  <si>
    <t>Claras 5 unid.</t>
  </si>
  <si>
    <t>Harina 0000 60 g</t>
  </si>
  <si>
    <t>Fécula de maíz 75 g</t>
  </si>
  <si>
    <t>Esencia de vainilla, 1 tapita</t>
  </si>
  <si>
    <t>Cubierta de merengue</t>
  </si>
  <si>
    <t>Azúcar 180 g</t>
  </si>
  <si>
    <t>Agua 70 cc</t>
  </si>
  <si>
    <t>Claras 3 unid.</t>
  </si>
  <si>
    <t>Crema pastelera de naranja</t>
  </si>
  <si>
    <t>Jugo de naranja 500 cc</t>
  </si>
  <si>
    <t>Yemas 6 unid.</t>
  </si>
  <si>
    <t>Fécula de maíz 20 g</t>
  </si>
  <si>
    <t>Harina 35 g</t>
  </si>
  <si>
    <t>Manteca 150 g</t>
  </si>
  <si>
    <t>Fruta fresca para rellenar y decorar</t>
  </si>
  <si>
    <t>Masa básica</t>
  </si>
  <si>
    <t>Leche 1 taza</t>
  </si>
  <si>
    <t>Huevo 1 unid.</t>
  </si>
  <si>
    <t>Aceite neutro 2 cdas</t>
  </si>
  <si>
    <t>Harina 1 y ¼ taza</t>
  </si>
  <si>
    <t>Polvo de hornear 2 cdtas</t>
  </si>
  <si>
    <t>Azúcar impalpable ⅓ taza</t>
  </si>
  <si>
    <t>Versión chocolate (mismas cantidades base, sumando)</t>
  </si>
  <si>
    <t>Café instantáneo 1 cdta</t>
  </si>
  <si>
    <t>Cacao amargo 2 cdas</t>
  </si>
  <si>
    <t>Relleno a elección</t>
  </si>
  <si>
    <t>Dulce de leche</t>
  </si>
  <si>
    <t>Crema chantilly</t>
  </si>
  <si>
    <t>Nutella</t>
  </si>
  <si>
    <t>Frutillas, bananas, duraznos</t>
  </si>
  <si>
    <t>Almendras, nueces</t>
  </si>
  <si>
    <t>Manteca</t>
  </si>
  <si>
    <t>Mousse</t>
  </si>
  <si>
    <t>Chocolate semiamargo 250 g</t>
  </si>
  <si>
    <t>Claras 2 unid.</t>
  </si>
  <si>
    <t>Crema de leche 250 g</t>
  </si>
  <si>
    <t>Crema de yogur</t>
  </si>
  <si>
    <t>Yogur natural sin endulzar 200 g</t>
  </si>
  <si>
    <t>Crema de leche 200 g</t>
  </si>
  <si>
    <t>Azúcar impalpable 20 g</t>
  </si>
  <si>
    <t>Caramelo salado</t>
  </si>
  <si>
    <t>Avellanas tostadas para acompañar</t>
  </si>
  <si>
    <t>Sal en escamas, c/n</t>
  </si>
  <si>
    <t>Crema</t>
  </si>
  <si>
    <t>Yemas 4 unid.</t>
  </si>
  <si>
    <t>Azúcar 90 g</t>
  </si>
  <si>
    <t>Agua 40 cc</t>
  </si>
  <si>
    <t>Queso mascarpone 300 g</t>
  </si>
  <si>
    <t>Cacao amargo, c/n</t>
  </si>
  <si>
    <t>Virutas de chocolate, c/n</t>
  </si>
  <si>
    <t>Vainillas embebidas</t>
  </si>
  <si>
    <t>Vainillas, c/n</t>
  </si>
  <si>
    <t>Almíbar de café (100 g azúcar + 100 cc agua + 2 cdas de café)</t>
  </si>
  <si>
    <t>Licor de café, 2 tapitas</t>
  </si>
  <si>
    <t>—</t>
  </si>
  <si>
    <t>Frambuesas congeladas o frescas, c/n</t>
  </si>
  <si>
    <t>Chocolate blanco para baño, c/n</t>
  </si>
  <si>
    <t>Chocolate semiamargo, c/n</t>
  </si>
  <si>
    <t>Budín</t>
  </si>
  <si>
    <t>Leche entera 1 L</t>
  </si>
  <si>
    <t>Crema de leche 200 cc</t>
  </si>
  <si>
    <t>Huevos 8 unid.</t>
  </si>
  <si>
    <t>Azúcar 160 g</t>
  </si>
  <si>
    <t>Ralladura de limón 2 unid.</t>
  </si>
  <si>
    <t>Miga de pan o medialunas de manteca 400 g</t>
  </si>
  <si>
    <t>Azúcar 500 g</t>
  </si>
  <si>
    <t>Agua 200 cc</t>
  </si>
  <si>
    <t>Para acompañar</t>
  </si>
  <si>
    <t>Menta fresca</t>
  </si>
  <si>
    <t>Frutillas y arándanos frescos</t>
  </si>
  <si>
    <t>Limas</t>
  </si>
  <si>
    <t>Mango fresco</t>
  </si>
  <si>
    <t>Dulce de leche repostero</t>
  </si>
  <si>
    <t>Crema montada</t>
  </si>
  <si>
    <t>Harina 250 g</t>
  </si>
  <si>
    <t>Nueces partidas 100 g</t>
  </si>
  <si>
    <t>Azúcar 100 g</t>
  </si>
  <si>
    <t>Relleno</t>
  </si>
  <si>
    <t>Helado de dulce de leche con nueces caramelizadas (o el sabor que prefieras)</t>
  </si>
  <si>
    <t>Vainillas caseras</t>
  </si>
  <si>
    <t>Claras 4 unid.</t>
  </si>
  <si>
    <t>Harina 0000 100 g</t>
  </si>
  <si>
    <t>Azúcar impalpable, c/n</t>
  </si>
  <si>
    <t>Almíbar</t>
  </si>
  <si>
    <t>Agua 300 cc</t>
  </si>
  <si>
    <t>Cáscara de naranja ½ unid.</t>
  </si>
  <si>
    <t>Moscato 100 cc</t>
  </si>
  <si>
    <t>Crema pastelera</t>
  </si>
  <si>
    <t>Leche 500 cc</t>
  </si>
  <si>
    <t>Almidón de maíz 40 g</t>
  </si>
  <si>
    <t>Esencia de vainilla 1 cda</t>
  </si>
  <si>
    <t>Crema de leche 360 cc</t>
  </si>
  <si>
    <t>Azúcar impalpable 3 cdas</t>
  </si>
  <si>
    <t>Leche en polvo descremada 1 cda</t>
  </si>
  <si>
    <t>Armado y decoración</t>
  </si>
  <si>
    <t>Dulce de leche repostero 500 g</t>
  </si>
  <si>
    <t>Chocolate semiamargo rallado</t>
  </si>
  <si>
    <t>Ralladura de naranja</t>
  </si>
  <si>
    <t>Azúcar 350 g</t>
  </si>
  <si>
    <t>Agua 80 cc</t>
  </si>
  <si>
    <t>Isla (merengue)</t>
  </si>
  <si>
    <t>Claras 8 unid.</t>
  </si>
  <si>
    <t>Azúcar 240 g</t>
  </si>
  <si>
    <t>Almidón de maíz 1 cda</t>
  </si>
  <si>
    <t>Sambayón</t>
  </si>
  <si>
    <t>Yemas 8 unid.</t>
  </si>
  <si>
    <t>Azúcar 8 cdas</t>
  </si>
  <si>
    <t>Oporto 8 cdas</t>
  </si>
  <si>
    <t>Armado</t>
  </si>
  <si>
    <t>Vainillas 20 unid.</t>
  </si>
  <si>
    <t>Dulce de leche repostero 250 g</t>
  </si>
  <si>
    <t>Crema chantillí 250 cc</t>
  </si>
  <si>
    <t>Leche 1 L</t>
  </si>
  <si>
    <t>Azúcar 250 g</t>
  </si>
  <si>
    <t>Almidón de maíz 80 g</t>
  </si>
  <si>
    <t>Almendras peladas y procesadas 250 g</t>
  </si>
  <si>
    <t>Ralladura de limón ½ cdta</t>
  </si>
  <si>
    <t>Yemas 3 unid.</t>
  </si>
  <si>
    <t>Canela en polvo ¼ cdta</t>
  </si>
  <si>
    <t>Huevos pequeños 4 unid.</t>
  </si>
  <si>
    <t>Azúcar 275 g</t>
  </si>
  <si>
    <t>Aceite neutro 300 cc</t>
  </si>
  <si>
    <t>Cacao en polvo 45 g</t>
  </si>
  <si>
    <t>Polvo para hornear 10 g</t>
  </si>
  <si>
    <t>Bicarbonato de sodio 10 g</t>
  </si>
  <si>
    <t>Canela en polvo 10 g</t>
  </si>
  <si>
    <t>Nueces 100 g</t>
  </si>
  <si>
    <t>Pasas de uva rubias 100 g</t>
  </si>
  <si>
    <t>Zanahorias 300 g (3 unid. grandes)</t>
  </si>
  <si>
    <t>Azúcar 50 g</t>
  </si>
  <si>
    <t>Chocolate blanco 350 g</t>
  </si>
  <si>
    <t>Gelatina sin sabor 8 g</t>
  </si>
  <si>
    <t>Agua para hidratar 40 cc</t>
  </si>
  <si>
    <t>Crema de leche 400 cc</t>
  </si>
  <si>
    <t>Azúcar integral 90 g</t>
  </si>
  <si>
    <t>Banana 1 unid.</t>
  </si>
  <si>
    <t>Yogur natural 160 g</t>
  </si>
  <si>
    <t>Harina de centeno 90 g</t>
  </si>
  <si>
    <t>Polvo de hornear 1 cdta</t>
  </si>
  <si>
    <t>Crema de maní</t>
  </si>
  <si>
    <t>Manteca 75 g</t>
  </si>
  <si>
    <t>Manteca de maní 250 g</t>
  </si>
  <si>
    <t>Azúcar impalpable 120 g</t>
  </si>
  <si>
    <t>Crema de leche 80 g</t>
  </si>
  <si>
    <t>Sal, c/n</t>
  </si>
  <si>
    <t>Garrapiñadas caseras de maní y bananas para decorar</t>
  </si>
  <si>
    <t>Queso crema 2 cdas</t>
  </si>
  <si>
    <t>Esencia de vainilla 2 cdtas</t>
  </si>
  <si>
    <t>Leche, un chorro</t>
  </si>
  <si>
    <t>Harina leudante ½ taza</t>
  </si>
  <si>
    <t>Bicarbonato 1 cdta</t>
  </si>
  <si>
    <t>Arándanos ½ bandejita</t>
  </si>
  <si>
    <t>Dulce de leche, c/n</t>
  </si>
  <si>
    <t>Miel, c/n</t>
  </si>
  <si>
    <t>Harina 0000 200 g</t>
  </si>
  <si>
    <t>Sal, 1 pizca</t>
  </si>
  <si>
    <t>Manteca 100 g</t>
  </si>
  <si>
    <t>Azúcar negra 200 g</t>
  </si>
  <si>
    <t>Avena tradicional 150 g</t>
  </si>
  <si>
    <t>Nueces 80 g</t>
  </si>
  <si>
    <t>Leche condensada ½ lata</t>
  </si>
  <si>
    <t>Chocolate semiamargo 150 g</t>
  </si>
  <si>
    <t>Manteca extra para el molde</t>
  </si>
  <si>
    <t>Harina 0000 500 g</t>
  </si>
  <si>
    <t>Azúcar 200 g</t>
  </si>
  <si>
    <t>Bananas 2 unid.</t>
  </si>
  <si>
    <t>Leche 60 cc</t>
  </si>
  <si>
    <t>Chocolate semiamargo 100 g</t>
  </si>
  <si>
    <t>Almendra 250 g</t>
  </si>
  <si>
    <t>Azúcar impalpable 250 g</t>
  </si>
  <si>
    <t>Clara 230 g</t>
  </si>
  <si>
    <t>Azúcar 230 g</t>
  </si>
  <si>
    <t>Colorante marrón, c/n</t>
  </si>
  <si>
    <t>Colorante amarillo, c/n</t>
  </si>
  <si>
    <t>Manteca 200 g</t>
  </si>
  <si>
    <t>Azúcar impalpable 200 g</t>
  </si>
  <si>
    <t>Huevo 3 unid.</t>
  </si>
  <si>
    <t>Yema 2 unid.</t>
  </si>
  <si>
    <t>Ralladura de limón 1 cda</t>
  </si>
  <si>
    <t>Fécula de maíz 400 g</t>
  </si>
  <si>
    <t>Dulce de leche 500 g</t>
  </si>
  <si>
    <t>Coco rallado 100 g</t>
  </si>
  <si>
    <t>Harina 0000 300 g</t>
  </si>
  <si>
    <t>Coco rallado 200 g</t>
  </si>
  <si>
    <t>Biscuit de coco</t>
  </si>
  <si>
    <t>Coco rallado 160 g</t>
  </si>
  <si>
    <t>Azúcar impalpable 160 g</t>
  </si>
  <si>
    <t>Almendra 40 g</t>
  </si>
  <si>
    <t>Azúcar 120 g</t>
  </si>
  <si>
    <t>Clara 240 g</t>
  </si>
  <si>
    <t>Trufa blanca</t>
  </si>
  <si>
    <t>Chocolate blanco 250 g</t>
  </si>
  <si>
    <t>Gelatina sin sabor 5 g</t>
  </si>
  <si>
    <t>Agua 30 cc</t>
  </si>
  <si>
    <t>Crema de leche 475 g</t>
  </si>
  <si>
    <t>Relleno y cubierta</t>
  </si>
  <si>
    <t>Ciruelas frescas</t>
  </si>
  <si>
    <t>Frutos rojos</t>
  </si>
  <si>
    <t>Salsa de frutillas</t>
  </si>
  <si>
    <t>Harina 0000 1 kg</t>
  </si>
  <si>
    <t>Levadura 50 g</t>
  </si>
  <si>
    <t>Huevo 10 unid.</t>
  </si>
  <si>
    <t>Agua de azahar 1 cda</t>
  </si>
  <si>
    <t>Ralladura de naranja 1 unid.</t>
  </si>
  <si>
    <t>Bebida aperitiva 100 cc</t>
  </si>
  <si>
    <t>Extracto de malta 50 g</t>
  </si>
  <si>
    <t>Glucosa 50 g</t>
  </si>
  <si>
    <t>Aceite neutro 250 g</t>
  </si>
  <si>
    <t>Frutos y frutas secas 800 g</t>
  </si>
  <si>
    <t>Salsa de cerezas</t>
  </si>
  <si>
    <t>Manteca 1 cda</t>
  </si>
  <si>
    <t>Cereza al marraschino, 1 lata</t>
  </si>
  <si>
    <t>Aguardiente, 1 taza de café</t>
  </si>
  <si>
    <t>Almidón de maíz 2 cdas</t>
  </si>
  <si>
    <t>Almíbar de cereza, 1 taza</t>
  </si>
  <si>
    <t>Leche condensada, 1 lata</t>
  </si>
  <si>
    <t>Bizcochuelo</t>
  </si>
  <si>
    <t>Huevo 8 unid.</t>
  </si>
  <si>
    <t>Harina 0000 160 g</t>
  </si>
  <si>
    <t>Cacao 40 g</t>
  </si>
  <si>
    <t>Relleno y decoración</t>
  </si>
  <si>
    <t>Crema chantilly 1 litro</t>
  </si>
  <si>
    <t>Mermelada de frutos rojos, 1 pote</t>
  </si>
  <si>
    <t>Rulos de chocolate para decorar</t>
  </si>
  <si>
    <t>Aguardiente extra para humectar</t>
  </si>
  <si>
    <t>Bocadito de maní</t>
  </si>
  <si>
    <t>Chocolate cobertura con leche 220 g</t>
  </si>
  <si>
    <t>Manteca de maní 90 g</t>
  </si>
  <si>
    <t>Relleno de maní</t>
  </si>
  <si>
    <t>Chocolate cobertura blanco 220 g</t>
  </si>
  <si>
    <t>Bocadito de dulce de leche</t>
  </si>
  <si>
    <t>Chocolate cobertura 200 g</t>
  </si>
  <si>
    <t>Dulce de leche clásico 250 g</t>
  </si>
  <si>
    <t>Rhum 25 cc</t>
  </si>
  <si>
    <t>Manteca 350 g</t>
  </si>
  <si>
    <t>Huevo 7 unid.</t>
  </si>
  <si>
    <t>Coco 40 g</t>
  </si>
  <si>
    <t>Sal 1 cdta</t>
  </si>
  <si>
    <t>Agua 20 cc</t>
  </si>
  <si>
    <t>Cobertura y decoración</t>
  </si>
  <si>
    <t>Ananá en rodajas, c/n</t>
  </si>
  <si>
    <t>Crema chantilly de coco</t>
  </si>
  <si>
    <t>Ralladura de lima</t>
  </si>
  <si>
    <t>Leche 200 cc</t>
  </si>
  <si>
    <t>Polvo para bizcochuelo, 1 caja</t>
  </si>
  <si>
    <t>Baño de chocolate</t>
  </si>
  <si>
    <t>Crema de leche 150 cc</t>
  </si>
  <si>
    <t>Manteca 50 g</t>
  </si>
  <si>
    <t>Colorantes</t>
  </si>
  <si>
    <t>Colorante vegetal a gusto (3 colores)</t>
  </si>
  <si>
    <t>Azúcar 10 cdas</t>
  </si>
  <si>
    <t>Leche en polvo 1 cda</t>
  </si>
  <si>
    <t>Crema de leche 1 litro</t>
  </si>
  <si>
    <t>Gelatina sin sabor 7 g</t>
  </si>
  <si>
    <t>Agua 100 cc</t>
  </si>
  <si>
    <t>Almíbar, c/n</t>
  </si>
  <si>
    <t>Frutilla 250 g</t>
  </si>
  <si>
    <t>Durazno 250 g</t>
  </si>
  <si>
    <t>Dulce de leche 250 g</t>
  </si>
  <si>
    <t>Huevo 2 unid.</t>
  </si>
  <si>
    <t>Manteca 20 g</t>
  </si>
  <si>
    <t>Baño</t>
  </si>
  <si>
    <t>Harina leudante 250 g</t>
  </si>
  <si>
    <t>Dulce de batata 200 g</t>
  </si>
  <si>
    <t>Membrillo 200 g</t>
  </si>
  <si>
    <t>Chips de chocolate 50 g (opcional)</t>
  </si>
  <si>
    <t>Chocolate para baño, 1 sobre</t>
  </si>
  <si>
    <t>Aceite de maíz 200 cc</t>
  </si>
  <si>
    <t>Almendras 150 g</t>
  </si>
  <si>
    <t>Harina leudante 225 g</t>
  </si>
  <si>
    <t>Mandarina 3 unid.</t>
  </si>
  <si>
    <t>Opcional</t>
  </si>
  <si>
    <t>Chocolate semiamargo 200 g</t>
  </si>
  <si>
    <t>Yema 1 unid.</t>
  </si>
  <si>
    <t>Harina leudante 400 g</t>
  </si>
  <si>
    <t>Dulce de membrillo 400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</si>
</sst>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\$#,##0"/>
  </numFmts>
  <fonts count="7" x14ac:knownFonts="1">
    <font>
      <sz val="11"/>
      <color theme="1"/>
      <name val="Calibri"/>
      <family val="2"/>
      <charset val="1"/>
    </font>
    <font>
      <b/>
      <sz val="16"/>
      <color rgb="FFB23566"/>
      <name val="Arial"/>
      <charset val="1"/>
    </font>
    <font>
      <i/>
      <sz val="10"/>
      <color rgb="FF5A3C2A"/>
      <name val="Arial"/>
      <charset val="1"/>
    </font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b/>
      <sz val="10"/>
      <color rgb="FFFFFFFF"/>
      <name val="Arial"/>
      <charset val="1"/>
    </font>
    <font>
      <sz val="10"/>
      <color rgb="FF0000FF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B8842F"/>
        <bgColor rgb="FF808080"/>
      </patternFill>
    </fill>
    <fill>
      <patternFill patternType="solid">
        <fgColor rgb="FFFBEEDB"/>
        <bgColor rgb="FFFFF3D6"/>
      </patternFill>
    </fill>
    <fill>
      <patternFill patternType="solid">
        <fgColor rgb="FFFFF3D6"/>
        <bgColor rgb="FFFBEEDB"/>
      </patternFill>
    </fill>
    <fill>
      <patternFill patternType="solid">
        <fgColor rgb="FFFFFFCC"/>
        <bgColor rgb="FFFFF3D6"/>
      </patternFill>
    </fill>
  </fills>
  <borders count="2">
    <border>
      <left/>
      <right/>
      <top/>
      <bottom/>
      <diagonal/>
    </border>
    <border>
      <left style="thin">
        <color rgb="FFD9B98A"/>
      </left>
      <right style="thin">
        <color rgb="FFD9B98A"/>
      </right>
      <top style="thin">
        <color rgb="FFD9B98A"/>
      </top>
      <bottom style="thin">
        <color rgb="FFD9B98A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Border="1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vertical="center" wrapText="1"/>
    </xf>
    <xf numFmtId="1" fontId="6" fillId="4" borderId="1" xfId="0" applyNumberFormat="1" applyFont="1" applyFill="1" applyBorder="1" applyAlignment="1">
      <alignment horizontal="center"/>
    </xf>
    <xf numFmtId="164" fontId="6" fillId="4" borderId="1" xfId="0" applyNumberFormat="1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9" fontId="6" fillId="4" borderId="1" xfId="0" applyNumberFormat="1" applyFont="1" applyFill="1" applyBorder="1" applyAlignment="1">
      <alignment horizontal="center"/>
    </xf>
    <xf numFmtId="164" fontId="4" fillId="3" borderId="1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vertical="center" wrapText="1"/>
    </xf>
    <xf numFmtId="164" fontId="3" fillId="0" borderId="1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4" fillId="0" borderId="0" xfId="0" applyFont="1"/>
    <xf numFmtId="164" fontId="4" fillId="5" borderId="1" xfId="0" applyNumberFormat="1" applyFont="1" applyFill="1" applyBorder="1"/>
    <xf numFmtId="0" fontId="5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3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42F"/>
      <rgbColor rgb="FF800080"/>
      <rgbColor rgb="FF008080"/>
      <rgbColor rgb="FFD9B98A"/>
      <rgbColor rgb="FF808080"/>
      <rgbColor rgb="FF9999FF"/>
      <rgbColor rgb="FFB235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FBEEDB"/>
      <rgbColor rgb="FFFFF3D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5A3C2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18"/>
  <sheetViews>
    <sheetView showGridLines="0" zoomScaleNormal="100" workbookViewId="0"/>
  </sheetViews>
  <sheetFormatPr baseColWidth="10" defaultColWidth="8.7109375" defaultRowHeight="15" x14ac:dyDescent="0.25"/>
  <cols>
    <col min="1" max="1" width="4" customWidth="1"/>
    <col min="2" max="2" width="95" customWidth="1"/>
  </cols>
  <sheetData>
    <row r="2" spans="2:2" ht="20.25" x14ac:dyDescent="0.3">
      <c r="B2" s="2" t="s">
        <v>0</v>
      </c>
    </row>
    <row r="3" spans="2:2" x14ac:dyDescent="0.25">
      <c r="B3" s="3" t="s">
        <v>1</v>
      </c>
    </row>
    <row r="5" spans="2:2" x14ac:dyDescent="0.25">
      <c r="B5" s="4"/>
    </row>
    <row r="6" spans="2:2" x14ac:dyDescent="0.25">
      <c r="B6" s="5" t="s">
        <v>2</v>
      </c>
    </row>
    <row r="7" spans="2:2" x14ac:dyDescent="0.25">
      <c r="B7" s="4" t="s">
        <v>3</v>
      </c>
    </row>
    <row r="8" spans="2:2" ht="25.5" x14ac:dyDescent="0.25">
      <c r="B8" s="4" t="s">
        <v>4</v>
      </c>
    </row>
    <row r="9" spans="2:2" ht="25.5" x14ac:dyDescent="0.25">
      <c r="B9" s="4" t="s">
        <v>5</v>
      </c>
    </row>
    <row r="10" spans="2:2" ht="25.5" x14ac:dyDescent="0.25">
      <c r="B10" s="4" t="s">
        <v>6</v>
      </c>
    </row>
    <row r="11" spans="2:2" ht="25.5" x14ac:dyDescent="0.25">
      <c r="B11" s="4" t="s">
        <v>7</v>
      </c>
    </row>
    <row r="12" spans="2:2" x14ac:dyDescent="0.25">
      <c r="B12" s="4"/>
    </row>
    <row r="13" spans="2:2" x14ac:dyDescent="0.25">
      <c r="B13" s="5" t="s">
        <v>8</v>
      </c>
    </row>
    <row r="14" spans="2:2" x14ac:dyDescent="0.25">
      <c r="B14" s="4" t="s">
        <v>9</v>
      </c>
    </row>
    <row r="15" spans="2:2" x14ac:dyDescent="0.25">
      <c r="B15" s="4" t="s">
        <v>10</v>
      </c>
    </row>
    <row r="16" spans="2:2" x14ac:dyDescent="0.25">
      <c r="B16" s="4"/>
    </row>
    <row r="17" spans="2:2" x14ac:dyDescent="0.25">
      <c r="B17" s="5" t="s">
        <v>11</v>
      </c>
    </row>
    <row r="18" spans="2:2" ht="25.5" x14ac:dyDescent="0.25">
      <c r="B18" s="4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Views>
    <sheetView showGridLines="0" zoomScaleNormal="100" workbookViewId="0">
      <pane xSplit="2" ySplit="2" topLeftCell="C18" activePane="bottomRight" state="frozen"/>
      <selection pane="topRight" activeCell="C1" sqref="C1"/>
      <selection pane="bottomLeft" activeCell="A3" sqref="A3"/>
      <selection pane="bottomRight" activeCell="M31" sqref="M31"/>
    </sheetView>
  </sheetViews>
  <sheetFormatPr baseColWidth="10" defaultColWidth="8.7109375" defaultRowHeight="15" x14ac:dyDescent="0.25"/>
  <cols>
    <col min="1" max="1" width="5" customWidth="1"/>
    <col min="2" max="2" width="38" customWidth="1"/>
    <col min="3" max="3" width="13" customWidth="1"/>
    <col min="4" max="4" width="15" customWidth="1"/>
    <col min="5" max="5" width="13" customWidth="1"/>
    <col min="6" max="6" width="12" customWidth="1"/>
    <col min="7" max="7" width="15" customWidth="1"/>
    <col min="8" max="8" width="13" customWidth="1"/>
    <col min="9" max="9" width="15" customWidth="1"/>
  </cols>
  <sheetData>
    <row r="1" spans="1:9" ht="20.25" x14ac:dyDescent="0.3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31.5" customHeight="1" x14ac:dyDescent="0.25">
      <c r="A2" s="6" t="s">
        <v>13</v>
      </c>
      <c r="B2" s="6" t="s">
        <v>14</v>
      </c>
      <c r="C2" s="6" t="s">
        <v>15</v>
      </c>
      <c r="D2" s="6" t="s">
        <v>16</v>
      </c>
      <c r="E2" s="6" t="s">
        <v>17</v>
      </c>
      <c r="F2" s="6" t="s">
        <v>18</v>
      </c>
      <c r="G2" s="6" t="s">
        <v>19</v>
      </c>
      <c r="H2" s="6" t="s">
        <v>20</v>
      </c>
      <c r="I2" s="6" t="s">
        <v>21</v>
      </c>
    </row>
    <row r="3" spans="1:9" x14ac:dyDescent="0.25">
      <c r="A3" s="7">
        <v>1</v>
      </c>
      <c r="B3" s="8" t="s">
        <v>22</v>
      </c>
      <c r="C3" s="9">
        <v>10</v>
      </c>
      <c r="D3" s="10">
        <v>0</v>
      </c>
      <c r="E3" s="11">
        <f t="shared" ref="E3:E34" si="0">IFERROR(D3/C3,0)</f>
        <v>0</v>
      </c>
      <c r="F3" s="12">
        <v>1.5</v>
      </c>
      <c r="G3" s="13">
        <f t="shared" ref="G3:G34" si="1">IFERROR(MROUND(E3*(1+F3),50),0)</f>
        <v>0</v>
      </c>
      <c r="H3" s="11">
        <f t="shared" ref="H3:H34" si="2">G3-E3</f>
        <v>0</v>
      </c>
      <c r="I3" s="11">
        <f t="shared" ref="I3:I34" si="3">H3*C3</f>
        <v>0</v>
      </c>
    </row>
    <row r="4" spans="1:9" x14ac:dyDescent="0.25">
      <c r="A4" s="14">
        <v>2</v>
      </c>
      <c r="B4" s="15" t="s">
        <v>23</v>
      </c>
      <c r="C4" s="9">
        <v>10</v>
      </c>
      <c r="D4" s="10">
        <v>0</v>
      </c>
      <c r="E4" s="16">
        <f t="shared" si="0"/>
        <v>0</v>
      </c>
      <c r="F4" s="12">
        <v>1.5</v>
      </c>
      <c r="G4" s="17">
        <f t="shared" si="1"/>
        <v>0</v>
      </c>
      <c r="H4" s="16">
        <f t="shared" si="2"/>
        <v>0</v>
      </c>
      <c r="I4" s="16">
        <f t="shared" si="3"/>
        <v>0</v>
      </c>
    </row>
    <row r="5" spans="1:9" ht="25.5" x14ac:dyDescent="0.25">
      <c r="A5" s="7">
        <v>3</v>
      </c>
      <c r="B5" s="8" t="s">
        <v>24</v>
      </c>
      <c r="C5" s="9">
        <v>8</v>
      </c>
      <c r="D5" s="10">
        <v>0</v>
      </c>
      <c r="E5" s="11">
        <f t="shared" si="0"/>
        <v>0</v>
      </c>
      <c r="F5" s="12">
        <v>1.5</v>
      </c>
      <c r="G5" s="13">
        <f t="shared" si="1"/>
        <v>0</v>
      </c>
      <c r="H5" s="11">
        <f t="shared" si="2"/>
        <v>0</v>
      </c>
      <c r="I5" s="11">
        <f t="shared" si="3"/>
        <v>0</v>
      </c>
    </row>
    <row r="6" spans="1:9" x14ac:dyDescent="0.25">
      <c r="A6" s="14">
        <v>4</v>
      </c>
      <c r="B6" s="15" t="s">
        <v>25</v>
      </c>
      <c r="C6" s="9">
        <v>7</v>
      </c>
      <c r="D6" s="10">
        <v>0</v>
      </c>
      <c r="E6" s="16">
        <f t="shared" si="0"/>
        <v>0</v>
      </c>
      <c r="F6" s="12">
        <v>1.5</v>
      </c>
      <c r="G6" s="17">
        <f t="shared" si="1"/>
        <v>0</v>
      </c>
      <c r="H6" s="16">
        <f t="shared" si="2"/>
        <v>0</v>
      </c>
      <c r="I6" s="16">
        <f t="shared" si="3"/>
        <v>0</v>
      </c>
    </row>
    <row r="7" spans="1:9" x14ac:dyDescent="0.25">
      <c r="A7" s="7">
        <v>5</v>
      </c>
      <c r="B7" s="8" t="s">
        <v>26</v>
      </c>
      <c r="C7" s="9">
        <v>7</v>
      </c>
      <c r="D7" s="10">
        <v>0</v>
      </c>
      <c r="E7" s="11">
        <f t="shared" si="0"/>
        <v>0</v>
      </c>
      <c r="F7" s="12">
        <v>1.5</v>
      </c>
      <c r="G7" s="13">
        <f t="shared" si="1"/>
        <v>0</v>
      </c>
      <c r="H7" s="11">
        <f t="shared" si="2"/>
        <v>0</v>
      </c>
      <c r="I7" s="11">
        <f t="shared" si="3"/>
        <v>0</v>
      </c>
    </row>
    <row r="8" spans="1:9" x14ac:dyDescent="0.25">
      <c r="A8" s="14">
        <v>6</v>
      </c>
      <c r="B8" s="15" t="s">
        <v>27</v>
      </c>
      <c r="C8" s="9">
        <v>9</v>
      </c>
      <c r="D8" s="10">
        <v>0</v>
      </c>
      <c r="E8" s="16">
        <f t="shared" si="0"/>
        <v>0</v>
      </c>
      <c r="F8" s="12">
        <v>1.5</v>
      </c>
      <c r="G8" s="17">
        <f t="shared" si="1"/>
        <v>0</v>
      </c>
      <c r="H8" s="16">
        <f t="shared" si="2"/>
        <v>0</v>
      </c>
      <c r="I8" s="16">
        <f t="shared" si="3"/>
        <v>0</v>
      </c>
    </row>
    <row r="9" spans="1:9" x14ac:dyDescent="0.25">
      <c r="A9" s="7">
        <v>7</v>
      </c>
      <c r="B9" s="8" t="s">
        <v>28</v>
      </c>
      <c r="C9" s="9">
        <v>22</v>
      </c>
      <c r="D9" s="10">
        <v>0</v>
      </c>
      <c r="E9" s="11">
        <f t="shared" si="0"/>
        <v>0</v>
      </c>
      <c r="F9" s="12">
        <v>1.5</v>
      </c>
      <c r="G9" s="13">
        <f t="shared" si="1"/>
        <v>0</v>
      </c>
      <c r="H9" s="11">
        <f t="shared" si="2"/>
        <v>0</v>
      </c>
      <c r="I9" s="11">
        <f t="shared" si="3"/>
        <v>0</v>
      </c>
    </row>
    <row r="10" spans="1:9" x14ac:dyDescent="0.25">
      <c r="A10" s="14">
        <v>8</v>
      </c>
      <c r="B10" s="15" t="s">
        <v>29</v>
      </c>
      <c r="C10" s="9">
        <v>10</v>
      </c>
      <c r="D10" s="10">
        <v>0</v>
      </c>
      <c r="E10" s="16">
        <f t="shared" si="0"/>
        <v>0</v>
      </c>
      <c r="F10" s="12">
        <v>1.5</v>
      </c>
      <c r="G10" s="17">
        <f t="shared" si="1"/>
        <v>0</v>
      </c>
      <c r="H10" s="16">
        <f t="shared" si="2"/>
        <v>0</v>
      </c>
      <c r="I10" s="16">
        <f t="shared" si="3"/>
        <v>0</v>
      </c>
    </row>
    <row r="11" spans="1:9" x14ac:dyDescent="0.25">
      <c r="A11" s="7">
        <v>9</v>
      </c>
      <c r="B11" s="8" t="s">
        <v>30</v>
      </c>
      <c r="C11" s="9">
        <v>11</v>
      </c>
      <c r="D11" s="10">
        <v>0</v>
      </c>
      <c r="E11" s="11">
        <f t="shared" si="0"/>
        <v>0</v>
      </c>
      <c r="F11" s="12">
        <v>1.5</v>
      </c>
      <c r="G11" s="13">
        <f t="shared" si="1"/>
        <v>0</v>
      </c>
      <c r="H11" s="11">
        <f t="shared" si="2"/>
        <v>0</v>
      </c>
      <c r="I11" s="11">
        <f t="shared" si="3"/>
        <v>0</v>
      </c>
    </row>
    <row r="12" spans="1:9" x14ac:dyDescent="0.25">
      <c r="A12" s="14">
        <v>10</v>
      </c>
      <c r="B12" s="15" t="s">
        <v>31</v>
      </c>
      <c r="C12" s="9">
        <v>9</v>
      </c>
      <c r="D12" s="10">
        <v>0</v>
      </c>
      <c r="E12" s="16">
        <f t="shared" si="0"/>
        <v>0</v>
      </c>
      <c r="F12" s="12">
        <v>1.5</v>
      </c>
      <c r="G12" s="17">
        <f t="shared" si="1"/>
        <v>0</v>
      </c>
      <c r="H12" s="16">
        <f t="shared" si="2"/>
        <v>0</v>
      </c>
      <c r="I12" s="16">
        <f t="shared" si="3"/>
        <v>0</v>
      </c>
    </row>
    <row r="13" spans="1:9" x14ac:dyDescent="0.25">
      <c r="A13" s="7">
        <v>11</v>
      </c>
      <c r="B13" s="8" t="s">
        <v>32</v>
      </c>
      <c r="C13" s="9">
        <v>8</v>
      </c>
      <c r="D13" s="10">
        <v>0</v>
      </c>
      <c r="E13" s="11">
        <f t="shared" si="0"/>
        <v>0</v>
      </c>
      <c r="F13" s="12">
        <v>1.5</v>
      </c>
      <c r="G13" s="13">
        <f t="shared" si="1"/>
        <v>0</v>
      </c>
      <c r="H13" s="11">
        <f t="shared" si="2"/>
        <v>0</v>
      </c>
      <c r="I13" s="11">
        <f t="shared" si="3"/>
        <v>0</v>
      </c>
    </row>
    <row r="14" spans="1:9" x14ac:dyDescent="0.25">
      <c r="A14" s="14">
        <v>12</v>
      </c>
      <c r="B14" s="15" t="s">
        <v>33</v>
      </c>
      <c r="C14" s="9">
        <v>9</v>
      </c>
      <c r="D14" s="10">
        <v>0</v>
      </c>
      <c r="E14" s="16">
        <f t="shared" si="0"/>
        <v>0</v>
      </c>
      <c r="F14" s="12">
        <v>1.5</v>
      </c>
      <c r="G14" s="17">
        <f t="shared" si="1"/>
        <v>0</v>
      </c>
      <c r="H14" s="16">
        <f t="shared" si="2"/>
        <v>0</v>
      </c>
      <c r="I14" s="16">
        <f t="shared" si="3"/>
        <v>0</v>
      </c>
    </row>
    <row r="15" spans="1:9" x14ac:dyDescent="0.25">
      <c r="A15" s="7">
        <v>13</v>
      </c>
      <c r="B15" s="8" t="s">
        <v>34</v>
      </c>
      <c r="C15" s="9">
        <v>11</v>
      </c>
      <c r="D15" s="10">
        <v>0</v>
      </c>
      <c r="E15" s="11">
        <f t="shared" si="0"/>
        <v>0</v>
      </c>
      <c r="F15" s="12">
        <v>1.5</v>
      </c>
      <c r="G15" s="13">
        <f t="shared" si="1"/>
        <v>0</v>
      </c>
      <c r="H15" s="11">
        <f t="shared" si="2"/>
        <v>0</v>
      </c>
      <c r="I15" s="11">
        <f t="shared" si="3"/>
        <v>0</v>
      </c>
    </row>
    <row r="16" spans="1:9" x14ac:dyDescent="0.25">
      <c r="A16" s="14">
        <v>14</v>
      </c>
      <c r="B16" s="15" t="s">
        <v>35</v>
      </c>
      <c r="C16" s="9">
        <v>12</v>
      </c>
      <c r="D16" s="10">
        <v>0</v>
      </c>
      <c r="E16" s="16">
        <f t="shared" si="0"/>
        <v>0</v>
      </c>
      <c r="F16" s="12">
        <v>1.5</v>
      </c>
      <c r="G16" s="17">
        <f t="shared" si="1"/>
        <v>0</v>
      </c>
      <c r="H16" s="16">
        <f t="shared" si="2"/>
        <v>0</v>
      </c>
      <c r="I16" s="16">
        <f t="shared" si="3"/>
        <v>0</v>
      </c>
    </row>
    <row r="17" spans="1:9" x14ac:dyDescent="0.25">
      <c r="A17" s="7">
        <v>15</v>
      </c>
      <c r="B17" s="8" t="s">
        <v>36</v>
      </c>
      <c r="C17" s="9">
        <v>11</v>
      </c>
      <c r="D17" s="10">
        <v>0</v>
      </c>
      <c r="E17" s="11">
        <f t="shared" si="0"/>
        <v>0</v>
      </c>
      <c r="F17" s="12">
        <v>1.5</v>
      </c>
      <c r="G17" s="13">
        <f t="shared" si="1"/>
        <v>0</v>
      </c>
      <c r="H17" s="11">
        <f t="shared" si="2"/>
        <v>0</v>
      </c>
      <c r="I17" s="11">
        <f t="shared" si="3"/>
        <v>0</v>
      </c>
    </row>
    <row r="18" spans="1:9" x14ac:dyDescent="0.25">
      <c r="A18" s="14">
        <v>16</v>
      </c>
      <c r="B18" s="15" t="s">
        <v>37</v>
      </c>
      <c r="C18" s="9">
        <v>4</v>
      </c>
      <c r="D18" s="10">
        <v>0</v>
      </c>
      <c r="E18" s="16">
        <f t="shared" si="0"/>
        <v>0</v>
      </c>
      <c r="F18" s="12">
        <v>1.5</v>
      </c>
      <c r="G18" s="17">
        <f t="shared" si="1"/>
        <v>0</v>
      </c>
      <c r="H18" s="16">
        <f t="shared" si="2"/>
        <v>0</v>
      </c>
      <c r="I18" s="16">
        <f t="shared" si="3"/>
        <v>0</v>
      </c>
    </row>
    <row r="19" spans="1:9" x14ac:dyDescent="0.25">
      <c r="A19" s="7">
        <v>17</v>
      </c>
      <c r="B19" s="8" t="s">
        <v>38</v>
      </c>
      <c r="C19" s="9">
        <v>14</v>
      </c>
      <c r="D19" s="10">
        <v>0</v>
      </c>
      <c r="E19" s="11">
        <f t="shared" si="0"/>
        <v>0</v>
      </c>
      <c r="F19" s="12">
        <v>1.5</v>
      </c>
      <c r="G19" s="13">
        <f t="shared" si="1"/>
        <v>0</v>
      </c>
      <c r="H19" s="11">
        <f t="shared" si="2"/>
        <v>0</v>
      </c>
      <c r="I19" s="11">
        <f t="shared" si="3"/>
        <v>0</v>
      </c>
    </row>
    <row r="20" spans="1:9" x14ac:dyDescent="0.25">
      <c r="A20" s="14">
        <v>18</v>
      </c>
      <c r="B20" s="15" t="s">
        <v>39</v>
      </c>
      <c r="C20" s="9">
        <v>9</v>
      </c>
      <c r="D20" s="10">
        <v>0</v>
      </c>
      <c r="E20" s="16">
        <f t="shared" si="0"/>
        <v>0</v>
      </c>
      <c r="F20" s="12">
        <v>1.5</v>
      </c>
      <c r="G20" s="17">
        <f t="shared" si="1"/>
        <v>0</v>
      </c>
      <c r="H20" s="16">
        <f t="shared" si="2"/>
        <v>0</v>
      </c>
      <c r="I20" s="16">
        <f t="shared" si="3"/>
        <v>0</v>
      </c>
    </row>
    <row r="21" spans="1:9" x14ac:dyDescent="0.25">
      <c r="A21" s="7">
        <v>19</v>
      </c>
      <c r="B21" s="8" t="s">
        <v>40</v>
      </c>
      <c r="C21" s="9">
        <v>22</v>
      </c>
      <c r="D21" s="10">
        <v>0</v>
      </c>
      <c r="E21" s="11">
        <f t="shared" si="0"/>
        <v>0</v>
      </c>
      <c r="F21" s="12">
        <v>1.5</v>
      </c>
      <c r="G21" s="13">
        <f t="shared" si="1"/>
        <v>0</v>
      </c>
      <c r="H21" s="11">
        <f t="shared" si="2"/>
        <v>0</v>
      </c>
      <c r="I21" s="11">
        <f t="shared" si="3"/>
        <v>0</v>
      </c>
    </row>
    <row r="22" spans="1:9" x14ac:dyDescent="0.25">
      <c r="A22" s="14">
        <v>20</v>
      </c>
      <c r="B22" s="15" t="s">
        <v>41</v>
      </c>
      <c r="C22" s="9">
        <v>13</v>
      </c>
      <c r="D22" s="10">
        <v>0</v>
      </c>
      <c r="E22" s="16">
        <f t="shared" si="0"/>
        <v>0</v>
      </c>
      <c r="F22" s="12">
        <v>1.5</v>
      </c>
      <c r="G22" s="17">
        <f t="shared" si="1"/>
        <v>0</v>
      </c>
      <c r="H22" s="16">
        <f t="shared" si="2"/>
        <v>0</v>
      </c>
      <c r="I22" s="16">
        <f t="shared" si="3"/>
        <v>0</v>
      </c>
    </row>
    <row r="23" spans="1:9" x14ac:dyDescent="0.25">
      <c r="A23" s="7">
        <v>21</v>
      </c>
      <c r="B23" s="8" t="s">
        <v>42</v>
      </c>
      <c r="C23" s="9">
        <v>10</v>
      </c>
      <c r="D23" s="10">
        <v>0</v>
      </c>
      <c r="E23" s="11">
        <f t="shared" si="0"/>
        <v>0</v>
      </c>
      <c r="F23" s="12">
        <v>1.5</v>
      </c>
      <c r="G23" s="13">
        <f t="shared" si="1"/>
        <v>0</v>
      </c>
      <c r="H23" s="11">
        <f t="shared" si="2"/>
        <v>0</v>
      </c>
      <c r="I23" s="11">
        <f t="shared" si="3"/>
        <v>0</v>
      </c>
    </row>
    <row r="24" spans="1:9" x14ac:dyDescent="0.25">
      <c r="A24" s="14">
        <v>22</v>
      </c>
      <c r="B24" s="15" t="s">
        <v>43</v>
      </c>
      <c r="C24" s="9">
        <v>12</v>
      </c>
      <c r="D24" s="10">
        <v>0</v>
      </c>
      <c r="E24" s="16">
        <f t="shared" si="0"/>
        <v>0</v>
      </c>
      <c r="F24" s="12">
        <v>1.5</v>
      </c>
      <c r="G24" s="17">
        <f t="shared" si="1"/>
        <v>0</v>
      </c>
      <c r="H24" s="16">
        <f t="shared" si="2"/>
        <v>0</v>
      </c>
      <c r="I24" s="16">
        <f t="shared" si="3"/>
        <v>0</v>
      </c>
    </row>
    <row r="25" spans="1:9" x14ac:dyDescent="0.25">
      <c r="A25" s="7">
        <v>23</v>
      </c>
      <c r="B25" s="8" t="s">
        <v>44</v>
      </c>
      <c r="C25" s="9">
        <v>1</v>
      </c>
      <c r="D25" s="10">
        <v>0</v>
      </c>
      <c r="E25" s="11">
        <f t="shared" si="0"/>
        <v>0</v>
      </c>
      <c r="F25" s="12">
        <v>1.5</v>
      </c>
      <c r="G25" s="13">
        <f t="shared" si="1"/>
        <v>0</v>
      </c>
      <c r="H25" s="11">
        <f t="shared" si="2"/>
        <v>0</v>
      </c>
      <c r="I25" s="11">
        <f t="shared" si="3"/>
        <v>0</v>
      </c>
    </row>
    <row r="26" spans="1:9" ht="25.5" x14ac:dyDescent="0.25">
      <c r="A26" s="14">
        <v>24</v>
      </c>
      <c r="B26" s="15" t="s">
        <v>45</v>
      </c>
      <c r="C26" s="9">
        <v>12</v>
      </c>
      <c r="D26" s="10">
        <v>0</v>
      </c>
      <c r="E26" s="16">
        <f t="shared" si="0"/>
        <v>0</v>
      </c>
      <c r="F26" s="12">
        <v>1.5</v>
      </c>
      <c r="G26" s="17">
        <f t="shared" si="1"/>
        <v>0</v>
      </c>
      <c r="H26" s="16">
        <f t="shared" si="2"/>
        <v>0</v>
      </c>
      <c r="I26" s="16">
        <f t="shared" si="3"/>
        <v>0</v>
      </c>
    </row>
    <row r="27" spans="1:9" ht="25.5" x14ac:dyDescent="0.25">
      <c r="A27" s="7">
        <v>25</v>
      </c>
      <c r="B27" s="8" t="s">
        <v>46</v>
      </c>
      <c r="C27" s="9">
        <v>22</v>
      </c>
      <c r="D27" s="10">
        <v>0</v>
      </c>
      <c r="E27" s="11">
        <f t="shared" si="0"/>
        <v>0</v>
      </c>
      <c r="F27" s="12">
        <v>1.5</v>
      </c>
      <c r="G27" s="13">
        <f t="shared" si="1"/>
        <v>0</v>
      </c>
      <c r="H27" s="11">
        <f t="shared" si="2"/>
        <v>0</v>
      </c>
      <c r="I27" s="11">
        <f t="shared" si="3"/>
        <v>0</v>
      </c>
    </row>
    <row r="28" spans="1:9" x14ac:dyDescent="0.25">
      <c r="A28" s="14">
        <v>26</v>
      </c>
      <c r="B28" s="15" t="s">
        <v>47</v>
      </c>
      <c r="C28" s="9">
        <v>12</v>
      </c>
      <c r="D28" s="10">
        <v>0</v>
      </c>
      <c r="E28" s="16">
        <f t="shared" si="0"/>
        <v>0</v>
      </c>
      <c r="F28" s="12">
        <v>1.5</v>
      </c>
      <c r="G28" s="17">
        <f t="shared" si="1"/>
        <v>0</v>
      </c>
      <c r="H28" s="16">
        <f t="shared" si="2"/>
        <v>0</v>
      </c>
      <c r="I28" s="16">
        <f t="shared" si="3"/>
        <v>0</v>
      </c>
    </row>
    <row r="29" spans="1:9" ht="25.5" x14ac:dyDescent="0.25">
      <c r="A29" s="7">
        <v>27</v>
      </c>
      <c r="B29" s="8" t="s">
        <v>48</v>
      </c>
      <c r="C29" s="9">
        <v>12</v>
      </c>
      <c r="D29" s="10">
        <v>0</v>
      </c>
      <c r="E29" s="11">
        <f t="shared" si="0"/>
        <v>0</v>
      </c>
      <c r="F29" s="12">
        <v>1.5</v>
      </c>
      <c r="G29" s="13">
        <f t="shared" si="1"/>
        <v>0</v>
      </c>
      <c r="H29" s="11">
        <f t="shared" si="2"/>
        <v>0</v>
      </c>
      <c r="I29" s="11">
        <f t="shared" si="3"/>
        <v>0</v>
      </c>
    </row>
    <row r="30" spans="1:9" x14ac:dyDescent="0.25">
      <c r="A30" s="14">
        <v>28</v>
      </c>
      <c r="B30" s="15" t="s">
        <v>49</v>
      </c>
      <c r="C30" s="9">
        <v>16</v>
      </c>
      <c r="D30" s="10">
        <v>0</v>
      </c>
      <c r="E30" s="16">
        <f t="shared" si="0"/>
        <v>0</v>
      </c>
      <c r="F30" s="12">
        <v>1.5</v>
      </c>
      <c r="G30" s="17">
        <f t="shared" si="1"/>
        <v>0</v>
      </c>
      <c r="H30" s="16">
        <f t="shared" si="2"/>
        <v>0</v>
      </c>
      <c r="I30" s="16">
        <f t="shared" si="3"/>
        <v>0</v>
      </c>
    </row>
    <row r="31" spans="1:9" x14ac:dyDescent="0.25">
      <c r="A31" s="7">
        <v>29</v>
      </c>
      <c r="B31" s="8" t="s">
        <v>50</v>
      </c>
      <c r="C31" s="9">
        <v>22</v>
      </c>
      <c r="D31" s="10">
        <v>0</v>
      </c>
      <c r="E31" s="11">
        <f t="shared" si="0"/>
        <v>0</v>
      </c>
      <c r="F31" s="12">
        <v>1.5</v>
      </c>
      <c r="G31" s="13">
        <f t="shared" si="1"/>
        <v>0</v>
      </c>
      <c r="H31" s="11">
        <f t="shared" si="2"/>
        <v>0</v>
      </c>
      <c r="I31" s="11">
        <f t="shared" si="3"/>
        <v>0</v>
      </c>
    </row>
    <row r="32" spans="1:9" ht="25.5" x14ac:dyDescent="0.25">
      <c r="A32" s="14">
        <v>30</v>
      </c>
      <c r="B32" s="15" t="s">
        <v>51</v>
      </c>
      <c r="C32" s="9">
        <v>15</v>
      </c>
      <c r="D32" s="10">
        <v>0</v>
      </c>
      <c r="E32" s="16">
        <f t="shared" si="0"/>
        <v>0</v>
      </c>
      <c r="F32" s="12">
        <v>1.5</v>
      </c>
      <c r="G32" s="17">
        <f t="shared" si="1"/>
        <v>0</v>
      </c>
      <c r="H32" s="16">
        <f t="shared" si="2"/>
        <v>0</v>
      </c>
      <c r="I32" s="16">
        <f t="shared" si="3"/>
        <v>0</v>
      </c>
    </row>
    <row r="33" spans="1:9" ht="25.5" x14ac:dyDescent="0.25">
      <c r="A33" s="7">
        <v>31</v>
      </c>
      <c r="B33" s="8" t="s">
        <v>52</v>
      </c>
      <c r="C33" s="9">
        <v>10</v>
      </c>
      <c r="D33" s="10">
        <v>0</v>
      </c>
      <c r="E33" s="11">
        <f t="shared" si="0"/>
        <v>0</v>
      </c>
      <c r="F33" s="12">
        <v>1.5</v>
      </c>
      <c r="G33" s="13">
        <f t="shared" si="1"/>
        <v>0</v>
      </c>
      <c r="H33" s="11">
        <f t="shared" si="2"/>
        <v>0</v>
      </c>
      <c r="I33" s="11">
        <f t="shared" si="3"/>
        <v>0</v>
      </c>
    </row>
    <row r="34" spans="1:9" ht="25.5" x14ac:dyDescent="0.25">
      <c r="A34" s="14">
        <v>32</v>
      </c>
      <c r="B34" s="15" t="s">
        <v>53</v>
      </c>
      <c r="C34" s="9">
        <v>10</v>
      </c>
      <c r="D34" s="10">
        <v>0</v>
      </c>
      <c r="E34" s="16">
        <f t="shared" si="0"/>
        <v>0</v>
      </c>
      <c r="F34" s="12">
        <v>1.5</v>
      </c>
      <c r="G34" s="17">
        <f t="shared" si="1"/>
        <v>0</v>
      </c>
      <c r="H34" s="16">
        <f t="shared" si="2"/>
        <v>0</v>
      </c>
      <c r="I34" s="16">
        <f t="shared" si="3"/>
        <v>0</v>
      </c>
    </row>
    <row r="36" spans="1:9" x14ac:dyDescent="0.25">
      <c r="B36" s="18" t="s">
        <v>54</v>
      </c>
      <c r="I36" s="19">
        <f>SUM(I3:I34)</f>
        <v>0</v>
      </c>
    </row>
    <row r="38" spans="1:9" x14ac:dyDescent="0.25">
      <c r="B38" s="3" t="s">
        <v>55</v>
      </c>
    </row>
  </sheetData>
  <mergeCells count="1">
    <mergeCell ref="A1:I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8"/>
  <sheetViews>
    <sheetView showGridLines="0" tabSelected="1" zoomScaleNormal="100" workbookViewId="0">
      <pane ySplit="1" topLeftCell="A41" activePane="bottomLeft" state="frozen"/>
      <selection pane="bottomLeft" activeCell="K12" sqref="K12"/>
    </sheetView>
  </sheetViews>
  <sheetFormatPr baseColWidth="10" defaultColWidth="8.7109375" defaultRowHeight="15" x14ac:dyDescent="0.25"/>
  <cols>
    <col min="1" max="1" width="5" customWidth="1"/>
    <col min="2" max="2" width="47.5703125" bestFit="1" customWidth="1"/>
    <col min="3" max="3" width="48" bestFit="1" customWidth="1"/>
    <col min="4" max="4" width="67" bestFit="1" customWidth="1"/>
  </cols>
  <sheetData>
    <row r="1" spans="1:4" x14ac:dyDescent="0.25">
      <c r="A1" s="20" t="s">
        <v>13</v>
      </c>
      <c r="B1" s="20" t="s">
        <v>14</v>
      </c>
      <c r="C1" s="20" t="s">
        <v>56</v>
      </c>
      <c r="D1" s="20" t="s">
        <v>57</v>
      </c>
    </row>
    <row r="2" spans="1:4" x14ac:dyDescent="0.25">
      <c r="A2" s="21">
        <v>1</v>
      </c>
      <c r="B2" s="21" t="s">
        <v>22</v>
      </c>
      <c r="C2" s="21" t="s">
        <v>58</v>
      </c>
      <c r="D2" s="21" t="s">
        <v>59</v>
      </c>
    </row>
    <row r="3" spans="1:4" x14ac:dyDescent="0.25">
      <c r="A3" s="21">
        <v>1</v>
      </c>
      <c r="B3" s="21" t="s">
        <v>22</v>
      </c>
      <c r="C3" s="21" t="s">
        <v>58</v>
      </c>
      <c r="D3" s="21" t="s">
        <v>60</v>
      </c>
    </row>
    <row r="4" spans="1:4" x14ac:dyDescent="0.25">
      <c r="A4" s="21">
        <v>1</v>
      </c>
      <c r="B4" s="21" t="s">
        <v>22</v>
      </c>
      <c r="C4" s="21" t="s">
        <v>61</v>
      </c>
      <c r="D4" s="21" t="s">
        <v>62</v>
      </c>
    </row>
    <row r="5" spans="1:4" x14ac:dyDescent="0.25">
      <c r="A5" s="21">
        <v>1</v>
      </c>
      <c r="B5" s="21" t="s">
        <v>22</v>
      </c>
      <c r="C5" s="21" t="s">
        <v>61</v>
      </c>
      <c r="D5" s="21" t="s">
        <v>63</v>
      </c>
    </row>
    <row r="6" spans="1:4" x14ac:dyDescent="0.25">
      <c r="A6" s="21">
        <v>1</v>
      </c>
      <c r="B6" s="21" t="s">
        <v>22</v>
      </c>
      <c r="C6" s="21" t="s">
        <v>61</v>
      </c>
      <c r="D6" s="21" t="s">
        <v>64</v>
      </c>
    </row>
    <row r="7" spans="1:4" x14ac:dyDescent="0.25">
      <c r="A7" s="21">
        <v>1</v>
      </c>
      <c r="B7" s="21" t="s">
        <v>22</v>
      </c>
      <c r="C7" s="21" t="s">
        <v>61</v>
      </c>
      <c r="D7" s="21" t="s">
        <v>65</v>
      </c>
    </row>
    <row r="8" spans="1:4" x14ac:dyDescent="0.25">
      <c r="A8" s="21">
        <v>1</v>
      </c>
      <c r="B8" s="21" t="s">
        <v>22</v>
      </c>
      <c r="C8" s="21" t="s">
        <v>61</v>
      </c>
      <c r="D8" s="21" t="s">
        <v>66</v>
      </c>
    </row>
    <row r="9" spans="1:4" x14ac:dyDescent="0.25">
      <c r="A9" s="21">
        <v>1</v>
      </c>
      <c r="B9" s="21" t="s">
        <v>22</v>
      </c>
      <c r="C9" s="21" t="s">
        <v>67</v>
      </c>
      <c r="D9" s="21" t="s">
        <v>68</v>
      </c>
    </row>
    <row r="10" spans="1:4" x14ac:dyDescent="0.25">
      <c r="A10" s="21">
        <v>1</v>
      </c>
      <c r="B10" s="21" t="s">
        <v>22</v>
      </c>
      <c r="C10" s="21" t="s">
        <v>67</v>
      </c>
      <c r="D10" s="21" t="s">
        <v>69</v>
      </c>
    </row>
    <row r="11" spans="1:4" x14ac:dyDescent="0.25">
      <c r="A11" s="21">
        <v>1</v>
      </c>
      <c r="B11" s="21" t="s">
        <v>22</v>
      </c>
      <c r="C11" s="21" t="s">
        <v>67</v>
      </c>
      <c r="D11" s="21" t="s">
        <v>70</v>
      </c>
    </row>
    <row r="12" spans="1:4" x14ac:dyDescent="0.25">
      <c r="A12" s="21">
        <v>1</v>
      </c>
      <c r="B12" s="21" t="s">
        <v>22</v>
      </c>
      <c r="C12" s="21" t="s">
        <v>67</v>
      </c>
      <c r="D12" s="21" t="s">
        <v>71</v>
      </c>
    </row>
    <row r="13" spans="1:4" x14ac:dyDescent="0.25">
      <c r="A13" s="22">
        <v>2</v>
      </c>
      <c r="B13" s="22" t="s">
        <v>23</v>
      </c>
      <c r="C13" s="22" t="s">
        <v>72</v>
      </c>
      <c r="D13" s="22" t="s">
        <v>73</v>
      </c>
    </row>
    <row r="14" spans="1:4" x14ac:dyDescent="0.25">
      <c r="A14" s="22">
        <v>2</v>
      </c>
      <c r="B14" s="22" t="s">
        <v>23</v>
      </c>
      <c r="C14" s="22" t="s">
        <v>72</v>
      </c>
      <c r="D14" s="22" t="s">
        <v>65</v>
      </c>
    </row>
    <row r="15" spans="1:4" x14ac:dyDescent="0.25">
      <c r="A15" s="22">
        <v>2</v>
      </c>
      <c r="B15" s="22" t="s">
        <v>23</v>
      </c>
      <c r="C15" s="22" t="s">
        <v>72</v>
      </c>
      <c r="D15" s="22" t="s">
        <v>74</v>
      </c>
    </row>
    <row r="16" spans="1:4" x14ac:dyDescent="0.25">
      <c r="A16" s="22">
        <v>2</v>
      </c>
      <c r="B16" s="22" t="s">
        <v>23</v>
      </c>
      <c r="C16" s="22" t="s">
        <v>72</v>
      </c>
      <c r="D16" s="22" t="s">
        <v>75</v>
      </c>
    </row>
    <row r="17" spans="1:4" x14ac:dyDescent="0.25">
      <c r="A17" s="22">
        <v>2</v>
      </c>
      <c r="B17" s="22" t="s">
        <v>23</v>
      </c>
      <c r="C17" s="22" t="s">
        <v>72</v>
      </c>
      <c r="D17" s="22" t="s">
        <v>76</v>
      </c>
    </row>
    <row r="18" spans="1:4" x14ac:dyDescent="0.25">
      <c r="A18" s="22">
        <v>2</v>
      </c>
      <c r="B18" s="22" t="s">
        <v>23</v>
      </c>
      <c r="C18" s="22" t="s">
        <v>72</v>
      </c>
      <c r="D18" s="22" t="s">
        <v>77</v>
      </c>
    </row>
    <row r="19" spans="1:4" x14ac:dyDescent="0.25">
      <c r="A19" s="22">
        <v>2</v>
      </c>
      <c r="B19" s="22" t="s">
        <v>23</v>
      </c>
      <c r="C19" s="22" t="s">
        <v>72</v>
      </c>
      <c r="D19" s="22" t="s">
        <v>78</v>
      </c>
    </row>
    <row r="20" spans="1:4" x14ac:dyDescent="0.25">
      <c r="A20" s="22">
        <v>2</v>
      </c>
      <c r="B20" s="22" t="s">
        <v>23</v>
      </c>
      <c r="C20" s="22" t="s">
        <v>72</v>
      </c>
      <c r="D20" s="22" t="s">
        <v>79</v>
      </c>
    </row>
    <row r="21" spans="1:4" x14ac:dyDescent="0.25">
      <c r="A21" s="22">
        <v>2</v>
      </c>
      <c r="B21" s="22" t="s">
        <v>23</v>
      </c>
      <c r="C21" s="22" t="s">
        <v>72</v>
      </c>
      <c r="D21" s="22" t="s">
        <v>80</v>
      </c>
    </row>
    <row r="22" spans="1:4" x14ac:dyDescent="0.25">
      <c r="A22" s="22">
        <v>2</v>
      </c>
      <c r="B22" s="22" t="s">
        <v>23</v>
      </c>
      <c r="C22" s="22" t="s">
        <v>81</v>
      </c>
      <c r="D22" s="22" t="s">
        <v>82</v>
      </c>
    </row>
    <row r="23" spans="1:4" x14ac:dyDescent="0.25">
      <c r="A23" s="22">
        <v>2</v>
      </c>
      <c r="B23" s="22" t="s">
        <v>23</v>
      </c>
      <c r="C23" s="22" t="s">
        <v>81</v>
      </c>
      <c r="D23" s="22" t="s">
        <v>83</v>
      </c>
    </row>
    <row r="24" spans="1:4" x14ac:dyDescent="0.25">
      <c r="A24" s="22">
        <v>2</v>
      </c>
      <c r="B24" s="22" t="s">
        <v>23</v>
      </c>
      <c r="C24" s="22" t="s">
        <v>81</v>
      </c>
      <c r="D24" s="22" t="s">
        <v>84</v>
      </c>
    </row>
    <row r="25" spans="1:4" x14ac:dyDescent="0.25">
      <c r="A25" s="22">
        <v>2</v>
      </c>
      <c r="B25" s="22" t="s">
        <v>23</v>
      </c>
      <c r="C25" s="22" t="s">
        <v>81</v>
      </c>
      <c r="D25" s="22" t="s">
        <v>85</v>
      </c>
    </row>
    <row r="26" spans="1:4" x14ac:dyDescent="0.25">
      <c r="A26" s="22">
        <v>2</v>
      </c>
      <c r="B26" s="22" t="s">
        <v>23</v>
      </c>
      <c r="C26" s="22" t="s">
        <v>81</v>
      </c>
      <c r="D26" s="22" t="s">
        <v>86</v>
      </c>
    </row>
    <row r="27" spans="1:4" x14ac:dyDescent="0.25">
      <c r="A27" s="22">
        <v>2</v>
      </c>
      <c r="B27" s="22" t="s">
        <v>23</v>
      </c>
      <c r="C27" s="22" t="s">
        <v>81</v>
      </c>
      <c r="D27" s="22" t="s">
        <v>87</v>
      </c>
    </row>
    <row r="28" spans="1:4" x14ac:dyDescent="0.25">
      <c r="A28" s="22">
        <v>2</v>
      </c>
      <c r="B28" s="22" t="s">
        <v>23</v>
      </c>
      <c r="C28" s="22" t="s">
        <v>81</v>
      </c>
      <c r="D28" s="22" t="s">
        <v>88</v>
      </c>
    </row>
    <row r="29" spans="1:4" x14ac:dyDescent="0.25">
      <c r="A29" s="22">
        <v>2</v>
      </c>
      <c r="B29" s="22" t="s">
        <v>23</v>
      </c>
      <c r="C29" s="22" t="s">
        <v>81</v>
      </c>
      <c r="D29" s="22" t="s">
        <v>89</v>
      </c>
    </row>
    <row r="30" spans="1:4" x14ac:dyDescent="0.25">
      <c r="A30" s="22">
        <v>2</v>
      </c>
      <c r="B30" s="22" t="s">
        <v>23</v>
      </c>
      <c r="C30" s="22" t="s">
        <v>81</v>
      </c>
      <c r="D30" s="22" t="s">
        <v>90</v>
      </c>
    </row>
    <row r="31" spans="1:4" x14ac:dyDescent="0.25">
      <c r="A31" s="22">
        <v>2</v>
      </c>
      <c r="B31" s="22" t="s">
        <v>23</v>
      </c>
      <c r="C31" s="22" t="s">
        <v>81</v>
      </c>
      <c r="D31" s="22" t="s">
        <v>91</v>
      </c>
    </row>
    <row r="32" spans="1:4" x14ac:dyDescent="0.25">
      <c r="A32" s="21">
        <v>3</v>
      </c>
      <c r="B32" s="21" t="s">
        <v>24</v>
      </c>
      <c r="C32" s="21" t="s">
        <v>92</v>
      </c>
      <c r="D32" s="21" t="s">
        <v>93</v>
      </c>
    </row>
    <row r="33" spans="1:4" x14ac:dyDescent="0.25">
      <c r="A33" s="21">
        <v>3</v>
      </c>
      <c r="B33" s="21" t="s">
        <v>24</v>
      </c>
      <c r="C33" s="21" t="s">
        <v>92</v>
      </c>
      <c r="D33" s="21" t="s">
        <v>94</v>
      </c>
    </row>
    <row r="34" spans="1:4" x14ac:dyDescent="0.25">
      <c r="A34" s="21">
        <v>3</v>
      </c>
      <c r="B34" s="21" t="s">
        <v>24</v>
      </c>
      <c r="C34" s="21" t="s">
        <v>92</v>
      </c>
      <c r="D34" s="21" t="s">
        <v>95</v>
      </c>
    </row>
    <row r="35" spans="1:4" x14ac:dyDescent="0.25">
      <c r="A35" s="21">
        <v>3</v>
      </c>
      <c r="B35" s="21" t="s">
        <v>24</v>
      </c>
      <c r="C35" s="21" t="s">
        <v>92</v>
      </c>
      <c r="D35" s="21" t="s">
        <v>96</v>
      </c>
    </row>
    <row r="36" spans="1:4" x14ac:dyDescent="0.25">
      <c r="A36" s="21">
        <v>3</v>
      </c>
      <c r="B36" s="21" t="s">
        <v>24</v>
      </c>
      <c r="C36" s="21" t="s">
        <v>92</v>
      </c>
      <c r="D36" s="21" t="s">
        <v>94</v>
      </c>
    </row>
    <row r="37" spans="1:4" x14ac:dyDescent="0.25">
      <c r="A37" s="21">
        <v>3</v>
      </c>
      <c r="B37" s="21" t="s">
        <v>24</v>
      </c>
      <c r="C37" s="21" t="s">
        <v>92</v>
      </c>
      <c r="D37" s="21" t="s">
        <v>97</v>
      </c>
    </row>
    <row r="38" spans="1:4" x14ac:dyDescent="0.25">
      <c r="A38" s="21">
        <v>3</v>
      </c>
      <c r="B38" s="21" t="s">
        <v>24</v>
      </c>
      <c r="C38" s="21" t="s">
        <v>92</v>
      </c>
      <c r="D38" s="21" t="s">
        <v>98</v>
      </c>
    </row>
    <row r="39" spans="1:4" x14ac:dyDescent="0.25">
      <c r="A39" s="21">
        <v>3</v>
      </c>
      <c r="B39" s="21" t="s">
        <v>24</v>
      </c>
      <c r="C39" s="21" t="s">
        <v>92</v>
      </c>
      <c r="D39" s="21" t="s">
        <v>99</v>
      </c>
    </row>
    <row r="40" spans="1:4" x14ac:dyDescent="0.25">
      <c r="A40" s="21">
        <v>3</v>
      </c>
      <c r="B40" s="21" t="s">
        <v>24</v>
      </c>
      <c r="C40" s="21" t="s">
        <v>100</v>
      </c>
      <c r="D40" s="21" t="s">
        <v>101</v>
      </c>
    </row>
    <row r="41" spans="1:4" x14ac:dyDescent="0.25">
      <c r="A41" s="21">
        <v>3</v>
      </c>
      <c r="B41" s="21" t="s">
        <v>24</v>
      </c>
      <c r="C41" s="21" t="s">
        <v>100</v>
      </c>
      <c r="D41" s="21" t="s">
        <v>102</v>
      </c>
    </row>
    <row r="42" spans="1:4" x14ac:dyDescent="0.25">
      <c r="A42" s="21">
        <v>3</v>
      </c>
      <c r="B42" s="21" t="s">
        <v>24</v>
      </c>
      <c r="C42" s="21" t="s">
        <v>100</v>
      </c>
      <c r="D42" s="21" t="s">
        <v>103</v>
      </c>
    </row>
    <row r="43" spans="1:4" x14ac:dyDescent="0.25">
      <c r="A43" s="21">
        <v>3</v>
      </c>
      <c r="B43" s="21" t="s">
        <v>24</v>
      </c>
      <c r="C43" s="21" t="s">
        <v>104</v>
      </c>
      <c r="D43" s="21" t="s">
        <v>105</v>
      </c>
    </row>
    <row r="44" spans="1:4" x14ac:dyDescent="0.25">
      <c r="A44" s="21">
        <v>3</v>
      </c>
      <c r="B44" s="21" t="s">
        <v>24</v>
      </c>
      <c r="C44" s="21" t="s">
        <v>104</v>
      </c>
      <c r="D44" s="21" t="s">
        <v>99</v>
      </c>
    </row>
    <row r="45" spans="1:4" x14ac:dyDescent="0.25">
      <c r="A45" s="21">
        <v>3</v>
      </c>
      <c r="B45" s="21" t="s">
        <v>24</v>
      </c>
      <c r="C45" s="21" t="s">
        <v>104</v>
      </c>
      <c r="D45" s="21" t="s">
        <v>62</v>
      </c>
    </row>
    <row r="46" spans="1:4" x14ac:dyDescent="0.25">
      <c r="A46" s="21">
        <v>3</v>
      </c>
      <c r="B46" s="21" t="s">
        <v>24</v>
      </c>
      <c r="C46" s="21" t="s">
        <v>104</v>
      </c>
      <c r="D46" s="21" t="s">
        <v>106</v>
      </c>
    </row>
    <row r="47" spans="1:4" x14ac:dyDescent="0.25">
      <c r="A47" s="21">
        <v>3</v>
      </c>
      <c r="B47" s="21" t="s">
        <v>24</v>
      </c>
      <c r="C47" s="21" t="s">
        <v>104</v>
      </c>
      <c r="D47" s="21" t="s">
        <v>107</v>
      </c>
    </row>
    <row r="48" spans="1:4" x14ac:dyDescent="0.25">
      <c r="A48" s="21">
        <v>3</v>
      </c>
      <c r="B48" s="21" t="s">
        <v>24</v>
      </c>
      <c r="C48" s="21" t="s">
        <v>104</v>
      </c>
      <c r="D48" s="21" t="s">
        <v>108</v>
      </c>
    </row>
    <row r="49" spans="1:4" x14ac:dyDescent="0.25">
      <c r="A49" s="21">
        <v>3</v>
      </c>
      <c r="B49" s="21" t="s">
        <v>24</v>
      </c>
      <c r="C49" s="21" t="s">
        <v>104</v>
      </c>
      <c r="D49" s="21" t="s">
        <v>109</v>
      </c>
    </row>
    <row r="50" spans="1:4" x14ac:dyDescent="0.25">
      <c r="A50" s="21">
        <v>3</v>
      </c>
      <c r="B50" s="21" t="s">
        <v>24</v>
      </c>
      <c r="C50" s="21" t="s">
        <v>104</v>
      </c>
      <c r="D50" s="21" t="s">
        <v>110</v>
      </c>
    </row>
    <row r="51" spans="1:4" x14ac:dyDescent="0.25">
      <c r="A51" s="22">
        <v>4</v>
      </c>
      <c r="B51" s="22" t="s">
        <v>25</v>
      </c>
      <c r="C51" s="22" t="s">
        <v>111</v>
      </c>
      <c r="D51" s="22" t="s">
        <v>112</v>
      </c>
    </row>
    <row r="52" spans="1:4" x14ac:dyDescent="0.25">
      <c r="A52" s="22">
        <v>4</v>
      </c>
      <c r="B52" s="22" t="s">
        <v>25</v>
      </c>
      <c r="C52" s="22" t="s">
        <v>111</v>
      </c>
      <c r="D52" s="22" t="s">
        <v>113</v>
      </c>
    </row>
    <row r="53" spans="1:4" x14ac:dyDescent="0.25">
      <c r="A53" s="22">
        <v>4</v>
      </c>
      <c r="B53" s="22" t="s">
        <v>25</v>
      </c>
      <c r="C53" s="22" t="s">
        <v>111</v>
      </c>
      <c r="D53" s="22" t="s">
        <v>114</v>
      </c>
    </row>
    <row r="54" spans="1:4" x14ac:dyDescent="0.25">
      <c r="A54" s="22">
        <v>4</v>
      </c>
      <c r="B54" s="22" t="s">
        <v>25</v>
      </c>
      <c r="C54" s="22" t="s">
        <v>111</v>
      </c>
      <c r="D54" s="22" t="s">
        <v>115</v>
      </c>
    </row>
    <row r="55" spans="1:4" x14ac:dyDescent="0.25">
      <c r="A55" s="22">
        <v>4</v>
      </c>
      <c r="B55" s="22" t="s">
        <v>25</v>
      </c>
      <c r="C55" s="22" t="s">
        <v>111</v>
      </c>
      <c r="D55" s="22" t="s">
        <v>116</v>
      </c>
    </row>
    <row r="56" spans="1:4" x14ac:dyDescent="0.25">
      <c r="A56" s="22">
        <v>4</v>
      </c>
      <c r="B56" s="22" t="s">
        <v>25</v>
      </c>
      <c r="C56" s="22" t="s">
        <v>111</v>
      </c>
      <c r="D56" s="22" t="s">
        <v>117</v>
      </c>
    </row>
    <row r="57" spans="1:4" x14ac:dyDescent="0.25">
      <c r="A57" s="22">
        <v>4</v>
      </c>
      <c r="B57" s="22" t="s">
        <v>25</v>
      </c>
      <c r="C57" s="22" t="s">
        <v>111</v>
      </c>
      <c r="D57" s="22" t="s">
        <v>77</v>
      </c>
    </row>
    <row r="58" spans="1:4" x14ac:dyDescent="0.25">
      <c r="A58" s="22">
        <v>4</v>
      </c>
      <c r="B58" s="22" t="s">
        <v>25</v>
      </c>
      <c r="C58" s="22" t="s">
        <v>118</v>
      </c>
      <c r="D58" s="22" t="s">
        <v>119</v>
      </c>
    </row>
    <row r="59" spans="1:4" x14ac:dyDescent="0.25">
      <c r="A59" s="22">
        <v>4</v>
      </c>
      <c r="B59" s="22" t="s">
        <v>25</v>
      </c>
      <c r="C59" s="22" t="s">
        <v>118</v>
      </c>
      <c r="D59" s="22" t="s">
        <v>120</v>
      </c>
    </row>
    <row r="60" spans="1:4" x14ac:dyDescent="0.25">
      <c r="A60" s="22">
        <v>4</v>
      </c>
      <c r="B60" s="22" t="s">
        <v>25</v>
      </c>
      <c r="C60" s="22" t="s">
        <v>121</v>
      </c>
      <c r="D60" s="22" t="s">
        <v>122</v>
      </c>
    </row>
    <row r="61" spans="1:4" x14ac:dyDescent="0.25">
      <c r="A61" s="22">
        <v>4</v>
      </c>
      <c r="B61" s="22" t="s">
        <v>25</v>
      </c>
      <c r="C61" s="22" t="s">
        <v>121</v>
      </c>
      <c r="D61" s="22" t="s">
        <v>123</v>
      </c>
    </row>
    <row r="62" spans="1:4" x14ac:dyDescent="0.25">
      <c r="A62" s="22">
        <v>4</v>
      </c>
      <c r="B62" s="22" t="s">
        <v>25</v>
      </c>
      <c r="C62" s="22" t="s">
        <v>121</v>
      </c>
      <c r="D62" s="22" t="s">
        <v>124</v>
      </c>
    </row>
    <row r="63" spans="1:4" x14ac:dyDescent="0.25">
      <c r="A63" s="22">
        <v>4</v>
      </c>
      <c r="B63" s="22" t="s">
        <v>25</v>
      </c>
      <c r="C63" s="22" t="s">
        <v>121</v>
      </c>
      <c r="D63" s="22" t="s">
        <v>125</v>
      </c>
    </row>
    <row r="64" spans="1:4" x14ac:dyDescent="0.25">
      <c r="A64" s="22">
        <v>4</v>
      </c>
      <c r="B64" s="22" t="s">
        <v>25</v>
      </c>
      <c r="C64" s="22" t="s">
        <v>121</v>
      </c>
      <c r="D64" s="22" t="s">
        <v>126</v>
      </c>
    </row>
    <row r="65" spans="1:4" x14ac:dyDescent="0.25">
      <c r="A65" s="22">
        <v>4</v>
      </c>
      <c r="B65" s="22" t="s">
        <v>25</v>
      </c>
      <c r="C65" s="22" t="s">
        <v>121</v>
      </c>
      <c r="D65" s="22" t="s">
        <v>127</v>
      </c>
    </row>
    <row r="66" spans="1:4" x14ac:dyDescent="0.25">
      <c r="A66" s="21">
        <v>5</v>
      </c>
      <c r="B66" s="21" t="s">
        <v>26</v>
      </c>
      <c r="C66" s="21" t="s">
        <v>128</v>
      </c>
      <c r="D66" s="21" t="s">
        <v>129</v>
      </c>
    </row>
    <row r="67" spans="1:4" x14ac:dyDescent="0.25">
      <c r="A67" s="21">
        <v>5</v>
      </c>
      <c r="B67" s="21" t="s">
        <v>26</v>
      </c>
      <c r="C67" s="21" t="s">
        <v>128</v>
      </c>
      <c r="D67" s="21" t="s">
        <v>109</v>
      </c>
    </row>
    <row r="68" spans="1:4" x14ac:dyDescent="0.25">
      <c r="A68" s="21">
        <v>5</v>
      </c>
      <c r="B68" s="21" t="s">
        <v>26</v>
      </c>
      <c r="C68" s="21" t="s">
        <v>128</v>
      </c>
      <c r="D68" s="21" t="s">
        <v>93</v>
      </c>
    </row>
    <row r="69" spans="1:4" x14ac:dyDescent="0.25">
      <c r="A69" s="21">
        <v>5</v>
      </c>
      <c r="B69" s="21" t="s">
        <v>26</v>
      </c>
      <c r="C69" s="21" t="s">
        <v>128</v>
      </c>
      <c r="D69" s="21" t="s">
        <v>60</v>
      </c>
    </row>
    <row r="70" spans="1:4" x14ac:dyDescent="0.25">
      <c r="A70" s="21">
        <v>5</v>
      </c>
      <c r="B70" s="21" t="s">
        <v>26</v>
      </c>
      <c r="C70" s="21" t="s">
        <v>128</v>
      </c>
      <c r="D70" s="21" t="s">
        <v>130</v>
      </c>
    </row>
    <row r="71" spans="1:4" x14ac:dyDescent="0.25">
      <c r="A71" s="21">
        <v>5</v>
      </c>
      <c r="B71" s="21" t="s">
        <v>26</v>
      </c>
      <c r="C71" s="21" t="s">
        <v>128</v>
      </c>
      <c r="D71" s="21" t="s">
        <v>131</v>
      </c>
    </row>
    <row r="72" spans="1:4" x14ac:dyDescent="0.25">
      <c r="A72" s="21">
        <v>5</v>
      </c>
      <c r="B72" s="21" t="s">
        <v>26</v>
      </c>
      <c r="C72" s="21" t="s">
        <v>132</v>
      </c>
      <c r="D72" s="21" t="s">
        <v>133</v>
      </c>
    </row>
    <row r="73" spans="1:4" x14ac:dyDescent="0.25">
      <c r="A73" s="21">
        <v>5</v>
      </c>
      <c r="B73" s="21" t="s">
        <v>26</v>
      </c>
      <c r="C73" s="21" t="s">
        <v>132</v>
      </c>
      <c r="D73" s="21" t="s">
        <v>134</v>
      </c>
    </row>
    <row r="74" spans="1:4" x14ac:dyDescent="0.25">
      <c r="A74" s="21">
        <v>5</v>
      </c>
      <c r="B74" s="21" t="s">
        <v>26</v>
      </c>
      <c r="C74" s="21" t="s">
        <v>132</v>
      </c>
      <c r="D74" s="21" t="s">
        <v>135</v>
      </c>
    </row>
    <row r="75" spans="1:4" x14ac:dyDescent="0.25">
      <c r="A75" s="21">
        <v>5</v>
      </c>
      <c r="B75" s="21" t="s">
        <v>26</v>
      </c>
      <c r="C75" s="21" t="s">
        <v>136</v>
      </c>
      <c r="D75" s="21" t="s">
        <v>60</v>
      </c>
    </row>
    <row r="76" spans="1:4" x14ac:dyDescent="0.25">
      <c r="A76" s="21">
        <v>5</v>
      </c>
      <c r="B76" s="21" t="s">
        <v>26</v>
      </c>
      <c r="C76" s="21" t="s">
        <v>136</v>
      </c>
      <c r="D76" s="21" t="s">
        <v>134</v>
      </c>
    </row>
    <row r="77" spans="1:4" x14ac:dyDescent="0.25">
      <c r="A77" s="21">
        <v>5</v>
      </c>
      <c r="B77" s="21" t="s">
        <v>26</v>
      </c>
      <c r="C77" s="21" t="s">
        <v>136</v>
      </c>
      <c r="D77" s="21" t="s">
        <v>137</v>
      </c>
    </row>
    <row r="78" spans="1:4" x14ac:dyDescent="0.25">
      <c r="A78" s="21">
        <v>5</v>
      </c>
      <c r="B78" s="21" t="s">
        <v>26</v>
      </c>
      <c r="C78" s="21" t="s">
        <v>136</v>
      </c>
      <c r="D78" s="21" t="s">
        <v>138</v>
      </c>
    </row>
    <row r="79" spans="1:4" x14ac:dyDescent="0.25">
      <c r="A79" s="22">
        <v>6</v>
      </c>
      <c r="B79" s="22" t="s">
        <v>27</v>
      </c>
      <c r="C79" s="22" t="s">
        <v>139</v>
      </c>
      <c r="D79" s="22" t="s">
        <v>140</v>
      </c>
    </row>
    <row r="80" spans="1:4" x14ac:dyDescent="0.25">
      <c r="A80" s="22">
        <v>6</v>
      </c>
      <c r="B80" s="22" t="s">
        <v>27</v>
      </c>
      <c r="C80" s="22" t="s">
        <v>139</v>
      </c>
      <c r="D80" s="22" t="s">
        <v>141</v>
      </c>
    </row>
    <row r="81" spans="1:4" x14ac:dyDescent="0.25">
      <c r="A81" s="22">
        <v>6</v>
      </c>
      <c r="B81" s="22" t="s">
        <v>27</v>
      </c>
      <c r="C81" s="22" t="s">
        <v>139</v>
      </c>
      <c r="D81" s="22" t="s">
        <v>142</v>
      </c>
    </row>
    <row r="82" spans="1:4" x14ac:dyDescent="0.25">
      <c r="A82" s="22">
        <v>6</v>
      </c>
      <c r="B82" s="22" t="s">
        <v>27</v>
      </c>
      <c r="C82" s="22" t="s">
        <v>139</v>
      </c>
      <c r="D82" s="22" t="s">
        <v>143</v>
      </c>
    </row>
    <row r="83" spans="1:4" x14ac:dyDescent="0.25">
      <c r="A83" s="22">
        <v>6</v>
      </c>
      <c r="B83" s="22" t="s">
        <v>27</v>
      </c>
      <c r="C83" s="22" t="s">
        <v>139</v>
      </c>
      <c r="D83" s="22" t="s">
        <v>134</v>
      </c>
    </row>
    <row r="84" spans="1:4" x14ac:dyDescent="0.25">
      <c r="A84" s="22">
        <v>6</v>
      </c>
      <c r="B84" s="22" t="s">
        <v>27</v>
      </c>
      <c r="C84" s="22" t="s">
        <v>139</v>
      </c>
      <c r="D84" s="22" t="s">
        <v>144</v>
      </c>
    </row>
    <row r="85" spans="1:4" x14ac:dyDescent="0.25">
      <c r="A85" s="22">
        <v>6</v>
      </c>
      <c r="B85" s="22" t="s">
        <v>27</v>
      </c>
      <c r="C85" s="22" t="s">
        <v>139</v>
      </c>
      <c r="D85" s="22" t="s">
        <v>145</v>
      </c>
    </row>
    <row r="86" spans="1:4" x14ac:dyDescent="0.25">
      <c r="A86" s="22">
        <v>6</v>
      </c>
      <c r="B86" s="22" t="s">
        <v>27</v>
      </c>
      <c r="C86" s="22" t="s">
        <v>146</v>
      </c>
      <c r="D86" s="22" t="s">
        <v>147</v>
      </c>
    </row>
    <row r="87" spans="1:4" x14ac:dyDescent="0.25">
      <c r="A87" s="22">
        <v>6</v>
      </c>
      <c r="B87" s="22" t="s">
        <v>27</v>
      </c>
      <c r="C87" s="22" t="s">
        <v>146</v>
      </c>
      <c r="D87" s="22" t="s">
        <v>148</v>
      </c>
    </row>
    <row r="88" spans="1:4" x14ac:dyDescent="0.25">
      <c r="A88" s="22">
        <v>6</v>
      </c>
      <c r="B88" s="22" t="s">
        <v>27</v>
      </c>
      <c r="C88" s="22" t="s">
        <v>146</v>
      </c>
      <c r="D88" s="22" t="s">
        <v>149</v>
      </c>
    </row>
    <row r="89" spans="1:4" x14ac:dyDescent="0.25">
      <c r="A89" s="21">
        <v>7</v>
      </c>
      <c r="B89" s="21" t="s">
        <v>28</v>
      </c>
      <c r="C89" s="21" t="s">
        <v>150</v>
      </c>
      <c r="D89" s="21" t="s">
        <v>151</v>
      </c>
    </row>
    <row r="90" spans="1:4" x14ac:dyDescent="0.25">
      <c r="A90" s="21">
        <v>7</v>
      </c>
      <c r="B90" s="21" t="s">
        <v>28</v>
      </c>
      <c r="C90" s="21" t="s">
        <v>150</v>
      </c>
      <c r="D90" s="21" t="s">
        <v>152</v>
      </c>
    </row>
    <row r="91" spans="1:4" x14ac:dyDescent="0.25">
      <c r="A91" s="21">
        <v>7</v>
      </c>
      <c r="B91" s="21" t="s">
        <v>28</v>
      </c>
      <c r="C91" s="21" t="s">
        <v>150</v>
      </c>
      <c r="D91" s="21" t="s">
        <v>153</v>
      </c>
    </row>
    <row r="92" spans="1:4" x14ac:dyDescent="0.25">
      <c r="A92" s="22">
        <v>8</v>
      </c>
      <c r="B92" s="22" t="s">
        <v>29</v>
      </c>
      <c r="C92" s="22" t="s">
        <v>154</v>
      </c>
      <c r="D92" s="22" t="s">
        <v>155</v>
      </c>
    </row>
    <row r="93" spans="1:4" x14ac:dyDescent="0.25">
      <c r="A93" s="22">
        <v>8</v>
      </c>
      <c r="B93" s="22" t="s">
        <v>29</v>
      </c>
      <c r="C93" s="22" t="s">
        <v>154</v>
      </c>
      <c r="D93" s="22" t="s">
        <v>156</v>
      </c>
    </row>
    <row r="94" spans="1:4" x14ac:dyDescent="0.25">
      <c r="A94" s="22">
        <v>8</v>
      </c>
      <c r="B94" s="22" t="s">
        <v>29</v>
      </c>
      <c r="C94" s="22" t="s">
        <v>154</v>
      </c>
      <c r="D94" s="22" t="s">
        <v>157</v>
      </c>
    </row>
    <row r="95" spans="1:4" x14ac:dyDescent="0.25">
      <c r="A95" s="22">
        <v>8</v>
      </c>
      <c r="B95" s="22" t="s">
        <v>29</v>
      </c>
      <c r="C95" s="22" t="s">
        <v>154</v>
      </c>
      <c r="D95" s="22" t="s">
        <v>106</v>
      </c>
    </row>
    <row r="96" spans="1:4" x14ac:dyDescent="0.25">
      <c r="A96" s="22">
        <v>8</v>
      </c>
      <c r="B96" s="22" t="s">
        <v>29</v>
      </c>
      <c r="C96" s="22" t="s">
        <v>154</v>
      </c>
      <c r="D96" s="22" t="s">
        <v>158</v>
      </c>
    </row>
    <row r="97" spans="1:4" x14ac:dyDescent="0.25">
      <c r="A97" s="22">
        <v>8</v>
      </c>
      <c r="B97" s="22" t="s">
        <v>29</v>
      </c>
      <c r="C97" s="22" t="s">
        <v>154</v>
      </c>
      <c r="D97" s="22" t="s">
        <v>159</v>
      </c>
    </row>
    <row r="98" spans="1:4" x14ac:dyDescent="0.25">
      <c r="A98" s="22">
        <v>8</v>
      </c>
      <c r="B98" s="22" t="s">
        <v>29</v>
      </c>
      <c r="C98" s="22" t="s">
        <v>154</v>
      </c>
      <c r="D98" s="22" t="s">
        <v>160</v>
      </c>
    </row>
    <row r="99" spans="1:4" x14ac:dyDescent="0.25">
      <c r="A99" s="22">
        <v>8</v>
      </c>
      <c r="B99" s="22" t="s">
        <v>29</v>
      </c>
      <c r="C99" s="22" t="s">
        <v>58</v>
      </c>
      <c r="D99" s="22" t="s">
        <v>161</v>
      </c>
    </row>
    <row r="100" spans="1:4" x14ac:dyDescent="0.25">
      <c r="A100" s="22">
        <v>8</v>
      </c>
      <c r="B100" s="22" t="s">
        <v>29</v>
      </c>
      <c r="C100" s="22" t="s">
        <v>58</v>
      </c>
      <c r="D100" s="22" t="s">
        <v>162</v>
      </c>
    </row>
    <row r="101" spans="1:4" x14ac:dyDescent="0.25">
      <c r="A101" s="22">
        <v>8</v>
      </c>
      <c r="B101" s="22" t="s">
        <v>29</v>
      </c>
      <c r="C101" s="22" t="s">
        <v>163</v>
      </c>
      <c r="D101" s="22" t="s">
        <v>164</v>
      </c>
    </row>
    <row r="102" spans="1:4" x14ac:dyDescent="0.25">
      <c r="A102" s="22">
        <v>8</v>
      </c>
      <c r="B102" s="22" t="s">
        <v>29</v>
      </c>
      <c r="C102" s="22" t="s">
        <v>163</v>
      </c>
      <c r="D102" s="22" t="s">
        <v>165</v>
      </c>
    </row>
    <row r="103" spans="1:4" x14ac:dyDescent="0.25">
      <c r="A103" s="22">
        <v>8</v>
      </c>
      <c r="B103" s="22" t="s">
        <v>29</v>
      </c>
      <c r="C103" s="22" t="s">
        <v>163</v>
      </c>
      <c r="D103" s="22" t="s">
        <v>166</v>
      </c>
    </row>
    <row r="104" spans="1:4" x14ac:dyDescent="0.25">
      <c r="A104" s="22">
        <v>8</v>
      </c>
      <c r="B104" s="22" t="s">
        <v>29</v>
      </c>
      <c r="C104" s="22" t="s">
        <v>163</v>
      </c>
      <c r="D104" s="22" t="s">
        <v>167</v>
      </c>
    </row>
    <row r="105" spans="1:4" x14ac:dyDescent="0.25">
      <c r="A105" s="22">
        <v>8</v>
      </c>
      <c r="B105" s="22" t="s">
        <v>29</v>
      </c>
      <c r="C105" s="22" t="s">
        <v>163</v>
      </c>
      <c r="D105" s="22" t="s">
        <v>168</v>
      </c>
    </row>
    <row r="106" spans="1:4" x14ac:dyDescent="0.25">
      <c r="A106" s="22">
        <v>8</v>
      </c>
      <c r="B106" s="22" t="s">
        <v>29</v>
      </c>
      <c r="C106" s="22" t="s">
        <v>163</v>
      </c>
      <c r="D106" s="22" t="s">
        <v>169</v>
      </c>
    </row>
    <row r="107" spans="1:4" x14ac:dyDescent="0.25">
      <c r="A107" s="21">
        <v>9</v>
      </c>
      <c r="B107" s="21" t="s">
        <v>30</v>
      </c>
      <c r="C107" s="21" t="s">
        <v>72</v>
      </c>
      <c r="D107" s="21" t="s">
        <v>170</v>
      </c>
    </row>
    <row r="108" spans="1:4" x14ac:dyDescent="0.25">
      <c r="A108" s="21">
        <v>9</v>
      </c>
      <c r="B108" s="21" t="s">
        <v>30</v>
      </c>
      <c r="C108" s="21" t="s">
        <v>72</v>
      </c>
      <c r="D108" s="21" t="s">
        <v>66</v>
      </c>
    </row>
    <row r="109" spans="1:4" x14ac:dyDescent="0.25">
      <c r="A109" s="21">
        <v>9</v>
      </c>
      <c r="B109" s="21" t="s">
        <v>30</v>
      </c>
      <c r="C109" s="21" t="s">
        <v>72</v>
      </c>
      <c r="D109" s="21" t="s">
        <v>171</v>
      </c>
    </row>
    <row r="110" spans="1:4" x14ac:dyDescent="0.25">
      <c r="A110" s="21">
        <v>9</v>
      </c>
      <c r="B110" s="21" t="s">
        <v>30</v>
      </c>
      <c r="C110" s="21" t="s">
        <v>72</v>
      </c>
      <c r="D110" s="21" t="s">
        <v>113</v>
      </c>
    </row>
    <row r="111" spans="1:4" x14ac:dyDescent="0.25">
      <c r="A111" s="21">
        <v>9</v>
      </c>
      <c r="B111" s="21" t="s">
        <v>30</v>
      </c>
      <c r="C111" s="21" t="s">
        <v>72</v>
      </c>
      <c r="D111" s="21" t="s">
        <v>172</v>
      </c>
    </row>
    <row r="112" spans="1:4" x14ac:dyDescent="0.25">
      <c r="A112" s="21">
        <v>9</v>
      </c>
      <c r="B112" s="21" t="s">
        <v>30</v>
      </c>
      <c r="C112" s="21" t="s">
        <v>72</v>
      </c>
      <c r="D112" s="21" t="s">
        <v>71</v>
      </c>
    </row>
    <row r="113" spans="1:4" x14ac:dyDescent="0.25">
      <c r="A113" s="21">
        <v>9</v>
      </c>
      <c r="B113" s="21" t="s">
        <v>30</v>
      </c>
      <c r="C113" s="21" t="s">
        <v>173</v>
      </c>
      <c r="D113" s="21" t="s">
        <v>174</v>
      </c>
    </row>
    <row r="114" spans="1:4" x14ac:dyDescent="0.25">
      <c r="A114" s="22">
        <v>10</v>
      </c>
      <c r="B114" s="22" t="s">
        <v>31</v>
      </c>
      <c r="C114" s="22" t="s">
        <v>175</v>
      </c>
      <c r="D114" s="22" t="s">
        <v>140</v>
      </c>
    </row>
    <row r="115" spans="1:4" x14ac:dyDescent="0.25">
      <c r="A115" s="22">
        <v>10</v>
      </c>
      <c r="B115" s="22" t="s">
        <v>31</v>
      </c>
      <c r="C115" s="22" t="s">
        <v>175</v>
      </c>
      <c r="D115" s="22" t="s">
        <v>176</v>
      </c>
    </row>
    <row r="116" spans="1:4" x14ac:dyDescent="0.25">
      <c r="A116" s="22">
        <v>10</v>
      </c>
      <c r="B116" s="22" t="s">
        <v>31</v>
      </c>
      <c r="C116" s="22" t="s">
        <v>175</v>
      </c>
      <c r="D116" s="22" t="s">
        <v>172</v>
      </c>
    </row>
    <row r="117" spans="1:4" x14ac:dyDescent="0.25">
      <c r="A117" s="22">
        <v>10</v>
      </c>
      <c r="B117" s="22" t="s">
        <v>31</v>
      </c>
      <c r="C117" s="22" t="s">
        <v>175</v>
      </c>
      <c r="D117" s="22" t="s">
        <v>177</v>
      </c>
    </row>
    <row r="118" spans="1:4" x14ac:dyDescent="0.25">
      <c r="A118" s="22">
        <v>10</v>
      </c>
      <c r="B118" s="22" t="s">
        <v>31</v>
      </c>
      <c r="C118" s="22" t="s">
        <v>175</v>
      </c>
      <c r="D118" s="22" t="s">
        <v>71</v>
      </c>
    </row>
    <row r="119" spans="1:4" x14ac:dyDescent="0.25">
      <c r="A119" s="22">
        <v>10</v>
      </c>
      <c r="B119" s="22" t="s">
        <v>31</v>
      </c>
      <c r="C119" s="22" t="s">
        <v>175</v>
      </c>
      <c r="D119" s="22" t="s">
        <v>178</v>
      </c>
    </row>
    <row r="120" spans="1:4" x14ac:dyDescent="0.25">
      <c r="A120" s="22">
        <v>10</v>
      </c>
      <c r="B120" s="22" t="s">
        <v>31</v>
      </c>
      <c r="C120" s="22" t="s">
        <v>179</v>
      </c>
      <c r="D120" s="22" t="s">
        <v>180</v>
      </c>
    </row>
    <row r="121" spans="1:4" x14ac:dyDescent="0.25">
      <c r="A121" s="22">
        <v>10</v>
      </c>
      <c r="B121" s="22" t="s">
        <v>31</v>
      </c>
      <c r="C121" s="22" t="s">
        <v>179</v>
      </c>
      <c r="D121" s="22" t="s">
        <v>75</v>
      </c>
    </row>
    <row r="122" spans="1:4" x14ac:dyDescent="0.25">
      <c r="A122" s="22">
        <v>10</v>
      </c>
      <c r="B122" s="22" t="s">
        <v>31</v>
      </c>
      <c r="C122" s="22" t="s">
        <v>179</v>
      </c>
      <c r="D122" s="22" t="s">
        <v>181</v>
      </c>
    </row>
    <row r="123" spans="1:4" x14ac:dyDescent="0.25">
      <c r="A123" s="22">
        <v>10</v>
      </c>
      <c r="B123" s="22" t="s">
        <v>31</v>
      </c>
      <c r="C123" s="22" t="s">
        <v>179</v>
      </c>
      <c r="D123" s="22" t="s">
        <v>182</v>
      </c>
    </row>
    <row r="124" spans="1:4" x14ac:dyDescent="0.25">
      <c r="A124" s="22">
        <v>10</v>
      </c>
      <c r="B124" s="22" t="s">
        <v>31</v>
      </c>
      <c r="C124" s="22" t="s">
        <v>183</v>
      </c>
      <c r="D124" s="22" t="s">
        <v>184</v>
      </c>
    </row>
    <row r="125" spans="1:4" x14ac:dyDescent="0.25">
      <c r="A125" s="22">
        <v>10</v>
      </c>
      <c r="B125" s="22" t="s">
        <v>31</v>
      </c>
      <c r="C125" s="22" t="s">
        <v>183</v>
      </c>
      <c r="D125" s="22" t="s">
        <v>106</v>
      </c>
    </row>
    <row r="126" spans="1:4" x14ac:dyDescent="0.25">
      <c r="A126" s="22">
        <v>10</v>
      </c>
      <c r="B126" s="22" t="s">
        <v>31</v>
      </c>
      <c r="C126" s="22" t="s">
        <v>183</v>
      </c>
      <c r="D126" s="22" t="s">
        <v>185</v>
      </c>
    </row>
    <row r="127" spans="1:4" x14ac:dyDescent="0.25">
      <c r="A127" s="22">
        <v>10</v>
      </c>
      <c r="B127" s="22" t="s">
        <v>31</v>
      </c>
      <c r="C127" s="22" t="s">
        <v>183</v>
      </c>
      <c r="D127" s="22" t="s">
        <v>62</v>
      </c>
    </row>
    <row r="128" spans="1:4" x14ac:dyDescent="0.25">
      <c r="A128" s="22">
        <v>10</v>
      </c>
      <c r="B128" s="22" t="s">
        <v>31</v>
      </c>
      <c r="C128" s="22" t="s">
        <v>183</v>
      </c>
      <c r="D128" s="22" t="s">
        <v>186</v>
      </c>
    </row>
    <row r="129" spans="1:4" x14ac:dyDescent="0.25">
      <c r="A129" s="22">
        <v>10</v>
      </c>
      <c r="B129" s="22" t="s">
        <v>31</v>
      </c>
      <c r="C129" s="22" t="s">
        <v>123</v>
      </c>
      <c r="D129" s="22" t="s">
        <v>187</v>
      </c>
    </row>
    <row r="130" spans="1:4" x14ac:dyDescent="0.25">
      <c r="A130" s="22">
        <v>10</v>
      </c>
      <c r="B130" s="22" t="s">
        <v>31</v>
      </c>
      <c r="C130" s="22" t="s">
        <v>123</v>
      </c>
      <c r="D130" s="22" t="s">
        <v>188</v>
      </c>
    </row>
    <row r="131" spans="1:4" x14ac:dyDescent="0.25">
      <c r="A131" s="22">
        <v>10</v>
      </c>
      <c r="B131" s="22" t="s">
        <v>31</v>
      </c>
      <c r="C131" s="22" t="s">
        <v>123</v>
      </c>
      <c r="D131" s="22" t="s">
        <v>189</v>
      </c>
    </row>
    <row r="132" spans="1:4" x14ac:dyDescent="0.25">
      <c r="A132" s="22">
        <v>10</v>
      </c>
      <c r="B132" s="22" t="s">
        <v>31</v>
      </c>
      <c r="C132" s="22" t="s">
        <v>190</v>
      </c>
      <c r="D132" s="22" t="s">
        <v>191</v>
      </c>
    </row>
    <row r="133" spans="1:4" x14ac:dyDescent="0.25">
      <c r="A133" s="22">
        <v>10</v>
      </c>
      <c r="B133" s="22" t="s">
        <v>31</v>
      </c>
      <c r="C133" s="22" t="s">
        <v>190</v>
      </c>
      <c r="D133" s="22" t="s">
        <v>192</v>
      </c>
    </row>
    <row r="134" spans="1:4" x14ac:dyDescent="0.25">
      <c r="A134" s="22">
        <v>10</v>
      </c>
      <c r="B134" s="22" t="s">
        <v>31</v>
      </c>
      <c r="C134" s="22" t="s">
        <v>190</v>
      </c>
      <c r="D134" s="22" t="s">
        <v>193</v>
      </c>
    </row>
    <row r="135" spans="1:4" x14ac:dyDescent="0.25">
      <c r="A135" s="21">
        <v>11</v>
      </c>
      <c r="B135" s="21" t="s">
        <v>32</v>
      </c>
      <c r="C135" s="21" t="s">
        <v>58</v>
      </c>
      <c r="D135" s="21" t="s">
        <v>194</v>
      </c>
    </row>
    <row r="136" spans="1:4" x14ac:dyDescent="0.25">
      <c r="A136" s="21">
        <v>11</v>
      </c>
      <c r="B136" s="21" t="s">
        <v>32</v>
      </c>
      <c r="C136" s="21" t="s">
        <v>58</v>
      </c>
      <c r="D136" s="21" t="s">
        <v>195</v>
      </c>
    </row>
    <row r="137" spans="1:4" x14ac:dyDescent="0.25">
      <c r="A137" s="21">
        <v>11</v>
      </c>
      <c r="B137" s="21" t="s">
        <v>32</v>
      </c>
      <c r="C137" s="21" t="s">
        <v>196</v>
      </c>
      <c r="D137" s="21" t="s">
        <v>197</v>
      </c>
    </row>
    <row r="138" spans="1:4" x14ac:dyDescent="0.25">
      <c r="A138" s="21">
        <v>11</v>
      </c>
      <c r="B138" s="21" t="s">
        <v>32</v>
      </c>
      <c r="C138" s="21" t="s">
        <v>196</v>
      </c>
      <c r="D138" s="21" t="s">
        <v>198</v>
      </c>
    </row>
    <row r="139" spans="1:4" x14ac:dyDescent="0.25">
      <c r="A139" s="21">
        <v>11</v>
      </c>
      <c r="B139" s="21" t="s">
        <v>32</v>
      </c>
      <c r="C139" s="21" t="s">
        <v>196</v>
      </c>
      <c r="D139" s="21" t="s">
        <v>199</v>
      </c>
    </row>
    <row r="140" spans="1:4" x14ac:dyDescent="0.25">
      <c r="A140" s="21">
        <v>11</v>
      </c>
      <c r="B140" s="21" t="s">
        <v>32</v>
      </c>
      <c r="C140" s="21" t="s">
        <v>200</v>
      </c>
      <c r="D140" s="21" t="s">
        <v>201</v>
      </c>
    </row>
    <row r="141" spans="1:4" x14ac:dyDescent="0.25">
      <c r="A141" s="21">
        <v>11</v>
      </c>
      <c r="B141" s="21" t="s">
        <v>32</v>
      </c>
      <c r="C141" s="21" t="s">
        <v>200</v>
      </c>
      <c r="D141" s="21" t="s">
        <v>202</v>
      </c>
    </row>
    <row r="142" spans="1:4" x14ac:dyDescent="0.25">
      <c r="A142" s="21">
        <v>11</v>
      </c>
      <c r="B142" s="21" t="s">
        <v>32</v>
      </c>
      <c r="C142" s="21" t="s">
        <v>200</v>
      </c>
      <c r="D142" s="21" t="s">
        <v>203</v>
      </c>
    </row>
    <row r="143" spans="1:4" x14ac:dyDescent="0.25">
      <c r="A143" s="22">
        <v>12</v>
      </c>
      <c r="B143" s="22" t="s">
        <v>33</v>
      </c>
      <c r="C143" s="22" t="s">
        <v>204</v>
      </c>
      <c r="D143" s="22" t="s">
        <v>205</v>
      </c>
    </row>
    <row r="144" spans="1:4" x14ac:dyDescent="0.25">
      <c r="A144" s="22">
        <v>12</v>
      </c>
      <c r="B144" s="22" t="s">
        <v>33</v>
      </c>
      <c r="C144" s="22" t="s">
        <v>204</v>
      </c>
      <c r="D144" s="22" t="s">
        <v>206</v>
      </c>
    </row>
    <row r="145" spans="1:4" x14ac:dyDescent="0.25">
      <c r="A145" s="22">
        <v>12</v>
      </c>
      <c r="B145" s="22" t="s">
        <v>33</v>
      </c>
      <c r="C145" s="22" t="s">
        <v>204</v>
      </c>
      <c r="D145" s="22" t="s">
        <v>207</v>
      </c>
    </row>
    <row r="146" spans="1:4" x14ac:dyDescent="0.25">
      <c r="A146" s="22">
        <v>12</v>
      </c>
      <c r="B146" s="22" t="s">
        <v>33</v>
      </c>
      <c r="C146" s="22" t="s">
        <v>183</v>
      </c>
      <c r="D146" s="22" t="s">
        <v>208</v>
      </c>
    </row>
    <row r="147" spans="1:4" x14ac:dyDescent="0.25">
      <c r="A147" s="22">
        <v>12</v>
      </c>
      <c r="B147" s="22" t="s">
        <v>33</v>
      </c>
      <c r="C147" s="22" t="s">
        <v>183</v>
      </c>
      <c r="D147" s="22" t="s">
        <v>106</v>
      </c>
    </row>
    <row r="148" spans="1:4" x14ac:dyDescent="0.25">
      <c r="A148" s="22">
        <v>12</v>
      </c>
      <c r="B148" s="22" t="s">
        <v>33</v>
      </c>
      <c r="C148" s="22" t="s">
        <v>183</v>
      </c>
      <c r="D148" s="22" t="s">
        <v>209</v>
      </c>
    </row>
    <row r="149" spans="1:4" x14ac:dyDescent="0.25">
      <c r="A149" s="22">
        <v>12</v>
      </c>
      <c r="B149" s="22" t="s">
        <v>33</v>
      </c>
      <c r="C149" s="22" t="s">
        <v>183</v>
      </c>
      <c r="D149" s="22" t="s">
        <v>210</v>
      </c>
    </row>
    <row r="150" spans="1:4" x14ac:dyDescent="0.25">
      <c r="A150" s="22">
        <v>12</v>
      </c>
      <c r="B150" s="22" t="s">
        <v>33</v>
      </c>
      <c r="C150" s="22" t="s">
        <v>183</v>
      </c>
      <c r="D150" s="22" t="s">
        <v>71</v>
      </c>
    </row>
    <row r="151" spans="1:4" x14ac:dyDescent="0.25">
      <c r="A151" s="22">
        <v>12</v>
      </c>
      <c r="B151" s="22" t="s">
        <v>33</v>
      </c>
      <c r="C151" s="22" t="s">
        <v>179</v>
      </c>
      <c r="D151" s="22" t="s">
        <v>75</v>
      </c>
    </row>
    <row r="152" spans="1:4" x14ac:dyDescent="0.25">
      <c r="A152" s="22">
        <v>12</v>
      </c>
      <c r="B152" s="22" t="s">
        <v>33</v>
      </c>
      <c r="C152" s="22" t="s">
        <v>179</v>
      </c>
      <c r="D152" s="22" t="s">
        <v>180</v>
      </c>
    </row>
    <row r="153" spans="1:4" x14ac:dyDescent="0.25">
      <c r="A153" s="22">
        <v>12</v>
      </c>
      <c r="B153" s="22" t="s">
        <v>33</v>
      </c>
      <c r="C153" s="22" t="s">
        <v>179</v>
      </c>
      <c r="D153" s="22" t="s">
        <v>182</v>
      </c>
    </row>
    <row r="154" spans="1:4" x14ac:dyDescent="0.25">
      <c r="A154" s="21">
        <v>13</v>
      </c>
      <c r="B154" s="21" t="s">
        <v>34</v>
      </c>
      <c r="C154" s="21" t="s">
        <v>150</v>
      </c>
      <c r="D154" s="21" t="s">
        <v>211</v>
      </c>
    </row>
    <row r="155" spans="1:4" x14ac:dyDescent="0.25">
      <c r="A155" s="21">
        <v>13</v>
      </c>
      <c r="B155" s="21" t="s">
        <v>34</v>
      </c>
      <c r="C155" s="21" t="s">
        <v>150</v>
      </c>
      <c r="D155" s="21" t="s">
        <v>212</v>
      </c>
    </row>
    <row r="156" spans="1:4" x14ac:dyDescent="0.25">
      <c r="A156" s="21">
        <v>13</v>
      </c>
      <c r="B156" s="21" t="s">
        <v>34</v>
      </c>
      <c r="C156" s="21" t="s">
        <v>150</v>
      </c>
      <c r="D156" s="21" t="s">
        <v>62</v>
      </c>
    </row>
    <row r="157" spans="1:4" x14ac:dyDescent="0.25">
      <c r="A157" s="21">
        <v>13</v>
      </c>
      <c r="B157" s="21" t="s">
        <v>34</v>
      </c>
      <c r="C157" s="21" t="s">
        <v>150</v>
      </c>
      <c r="D157" s="21" t="s">
        <v>142</v>
      </c>
    </row>
    <row r="158" spans="1:4" x14ac:dyDescent="0.25">
      <c r="A158" s="21">
        <v>13</v>
      </c>
      <c r="B158" s="21" t="s">
        <v>34</v>
      </c>
      <c r="C158" s="21" t="s">
        <v>150</v>
      </c>
      <c r="D158" s="21" t="s">
        <v>213</v>
      </c>
    </row>
    <row r="159" spans="1:4" x14ac:dyDescent="0.25">
      <c r="A159" s="21">
        <v>13</v>
      </c>
      <c r="B159" s="21" t="s">
        <v>34</v>
      </c>
      <c r="C159" s="21" t="s">
        <v>150</v>
      </c>
      <c r="D159" s="21" t="s">
        <v>214</v>
      </c>
    </row>
    <row r="160" spans="1:4" x14ac:dyDescent="0.25">
      <c r="A160" s="22">
        <v>14</v>
      </c>
      <c r="B160" s="22" t="s">
        <v>35</v>
      </c>
      <c r="C160" s="22" t="s">
        <v>72</v>
      </c>
      <c r="D160" s="22" t="s">
        <v>215</v>
      </c>
    </row>
    <row r="161" spans="1:4" x14ac:dyDescent="0.25">
      <c r="A161" s="22">
        <v>14</v>
      </c>
      <c r="B161" s="22" t="s">
        <v>35</v>
      </c>
      <c r="C161" s="22" t="s">
        <v>72</v>
      </c>
      <c r="D161" s="22" t="s">
        <v>216</v>
      </c>
    </row>
    <row r="162" spans="1:4" x14ac:dyDescent="0.25">
      <c r="A162" s="22">
        <v>14</v>
      </c>
      <c r="B162" s="22" t="s">
        <v>35</v>
      </c>
      <c r="C162" s="22" t="s">
        <v>72</v>
      </c>
      <c r="D162" s="22" t="s">
        <v>217</v>
      </c>
    </row>
    <row r="163" spans="1:4" x14ac:dyDescent="0.25">
      <c r="A163" s="22">
        <v>14</v>
      </c>
      <c r="B163" s="22" t="s">
        <v>35</v>
      </c>
      <c r="C163" s="22" t="s">
        <v>72</v>
      </c>
      <c r="D163" s="22" t="s">
        <v>170</v>
      </c>
    </row>
    <row r="164" spans="1:4" x14ac:dyDescent="0.25">
      <c r="A164" s="22">
        <v>14</v>
      </c>
      <c r="B164" s="22" t="s">
        <v>35</v>
      </c>
      <c r="C164" s="22" t="s">
        <v>72</v>
      </c>
      <c r="D164" s="22" t="s">
        <v>218</v>
      </c>
    </row>
    <row r="165" spans="1:4" x14ac:dyDescent="0.25">
      <c r="A165" s="22">
        <v>14</v>
      </c>
      <c r="B165" s="22" t="s">
        <v>35</v>
      </c>
      <c r="C165" s="22" t="s">
        <v>72</v>
      </c>
      <c r="D165" s="22" t="s">
        <v>219</v>
      </c>
    </row>
    <row r="166" spans="1:4" x14ac:dyDescent="0.25">
      <c r="A166" s="22">
        <v>14</v>
      </c>
      <c r="B166" s="22" t="s">
        <v>35</v>
      </c>
      <c r="C166" s="22" t="s">
        <v>72</v>
      </c>
      <c r="D166" s="22" t="s">
        <v>220</v>
      </c>
    </row>
    <row r="167" spans="1:4" x14ac:dyDescent="0.25">
      <c r="A167" s="22">
        <v>14</v>
      </c>
      <c r="B167" s="22" t="s">
        <v>35</v>
      </c>
      <c r="C167" s="22" t="s">
        <v>72</v>
      </c>
      <c r="D167" s="22" t="s">
        <v>221</v>
      </c>
    </row>
    <row r="168" spans="1:4" x14ac:dyDescent="0.25">
      <c r="A168" s="22">
        <v>14</v>
      </c>
      <c r="B168" s="22" t="s">
        <v>35</v>
      </c>
      <c r="C168" s="22" t="s">
        <v>72</v>
      </c>
      <c r="D168" s="22" t="s">
        <v>222</v>
      </c>
    </row>
    <row r="169" spans="1:4" x14ac:dyDescent="0.25">
      <c r="A169" s="22">
        <v>14</v>
      </c>
      <c r="B169" s="22" t="s">
        <v>35</v>
      </c>
      <c r="C169" s="22" t="s">
        <v>72</v>
      </c>
      <c r="D169" s="22" t="s">
        <v>223</v>
      </c>
    </row>
    <row r="170" spans="1:4" x14ac:dyDescent="0.25">
      <c r="A170" s="22">
        <v>14</v>
      </c>
      <c r="B170" s="22" t="s">
        <v>35</v>
      </c>
      <c r="C170" s="22" t="s">
        <v>72</v>
      </c>
      <c r="D170" s="22" t="s">
        <v>224</v>
      </c>
    </row>
    <row r="171" spans="1:4" x14ac:dyDescent="0.25">
      <c r="A171" s="22">
        <v>14</v>
      </c>
      <c r="B171" s="22" t="s">
        <v>35</v>
      </c>
      <c r="C171" s="22" t="s">
        <v>173</v>
      </c>
      <c r="D171" s="22" t="s">
        <v>134</v>
      </c>
    </row>
    <row r="172" spans="1:4" x14ac:dyDescent="0.25">
      <c r="A172" s="22">
        <v>14</v>
      </c>
      <c r="B172" s="22" t="s">
        <v>35</v>
      </c>
      <c r="C172" s="22" t="s">
        <v>173</v>
      </c>
      <c r="D172" s="22" t="s">
        <v>225</v>
      </c>
    </row>
    <row r="173" spans="1:4" x14ac:dyDescent="0.25">
      <c r="A173" s="22">
        <v>14</v>
      </c>
      <c r="B173" s="22" t="s">
        <v>35</v>
      </c>
      <c r="C173" s="22" t="s">
        <v>173</v>
      </c>
      <c r="D173" s="22" t="s">
        <v>226</v>
      </c>
    </row>
    <row r="174" spans="1:4" x14ac:dyDescent="0.25">
      <c r="A174" s="22">
        <v>14</v>
      </c>
      <c r="B174" s="22" t="s">
        <v>35</v>
      </c>
      <c r="C174" s="22" t="s">
        <v>173</v>
      </c>
      <c r="D174" s="22" t="s">
        <v>227</v>
      </c>
    </row>
    <row r="175" spans="1:4" x14ac:dyDescent="0.25">
      <c r="A175" s="22">
        <v>14</v>
      </c>
      <c r="B175" s="22" t="s">
        <v>35</v>
      </c>
      <c r="C175" s="22" t="s">
        <v>173</v>
      </c>
      <c r="D175" s="22" t="s">
        <v>228</v>
      </c>
    </row>
    <row r="176" spans="1:4" x14ac:dyDescent="0.25">
      <c r="A176" s="22">
        <v>14</v>
      </c>
      <c r="B176" s="22" t="s">
        <v>35</v>
      </c>
      <c r="C176" s="22" t="s">
        <v>173</v>
      </c>
      <c r="D176" s="22" t="s">
        <v>229</v>
      </c>
    </row>
    <row r="177" spans="1:4" x14ac:dyDescent="0.25">
      <c r="A177" s="21">
        <v>15</v>
      </c>
      <c r="B177" s="21" t="s">
        <v>36</v>
      </c>
      <c r="C177" s="21" t="s">
        <v>72</v>
      </c>
      <c r="D177" s="21" t="s">
        <v>64</v>
      </c>
    </row>
    <row r="178" spans="1:4" x14ac:dyDescent="0.25">
      <c r="A178" s="21">
        <v>15</v>
      </c>
      <c r="B178" s="21" t="s">
        <v>36</v>
      </c>
      <c r="C178" s="21" t="s">
        <v>72</v>
      </c>
      <c r="D178" s="21" t="s">
        <v>230</v>
      </c>
    </row>
    <row r="179" spans="1:4" x14ac:dyDescent="0.25">
      <c r="A179" s="21">
        <v>15</v>
      </c>
      <c r="B179" s="21" t="s">
        <v>36</v>
      </c>
      <c r="C179" s="21" t="s">
        <v>72</v>
      </c>
      <c r="D179" s="21" t="s">
        <v>77</v>
      </c>
    </row>
    <row r="180" spans="1:4" x14ac:dyDescent="0.25">
      <c r="A180" s="21">
        <v>15</v>
      </c>
      <c r="B180" s="21" t="s">
        <v>36</v>
      </c>
      <c r="C180" s="21" t="s">
        <v>72</v>
      </c>
      <c r="D180" s="21" t="s">
        <v>231</v>
      </c>
    </row>
    <row r="181" spans="1:4" x14ac:dyDescent="0.25">
      <c r="A181" s="21">
        <v>15</v>
      </c>
      <c r="B181" s="21" t="s">
        <v>36</v>
      </c>
      <c r="C181" s="21" t="s">
        <v>72</v>
      </c>
      <c r="D181" s="21" t="s">
        <v>232</v>
      </c>
    </row>
    <row r="182" spans="1:4" x14ac:dyDescent="0.25">
      <c r="A182" s="21">
        <v>15</v>
      </c>
      <c r="B182" s="21" t="s">
        <v>36</v>
      </c>
      <c r="C182" s="21" t="s">
        <v>72</v>
      </c>
      <c r="D182" s="21" t="s">
        <v>233</v>
      </c>
    </row>
    <row r="183" spans="1:4" x14ac:dyDescent="0.25">
      <c r="A183" s="21">
        <v>15</v>
      </c>
      <c r="B183" s="21" t="s">
        <v>36</v>
      </c>
      <c r="C183" s="21" t="s">
        <v>72</v>
      </c>
      <c r="D183" s="21" t="s">
        <v>234</v>
      </c>
    </row>
    <row r="184" spans="1:4" x14ac:dyDescent="0.25">
      <c r="A184" s="21">
        <v>15</v>
      </c>
      <c r="B184" s="21" t="s">
        <v>36</v>
      </c>
      <c r="C184" s="21" t="s">
        <v>235</v>
      </c>
      <c r="D184" s="21" t="s">
        <v>236</v>
      </c>
    </row>
    <row r="185" spans="1:4" x14ac:dyDescent="0.25">
      <c r="A185" s="21">
        <v>15</v>
      </c>
      <c r="B185" s="21" t="s">
        <v>36</v>
      </c>
      <c r="C185" s="21" t="s">
        <v>235</v>
      </c>
      <c r="D185" s="21" t="s">
        <v>237</v>
      </c>
    </row>
    <row r="186" spans="1:4" x14ac:dyDescent="0.25">
      <c r="A186" s="21">
        <v>15</v>
      </c>
      <c r="B186" s="21" t="s">
        <v>36</v>
      </c>
      <c r="C186" s="21" t="s">
        <v>235</v>
      </c>
      <c r="D186" s="21" t="s">
        <v>238</v>
      </c>
    </row>
    <row r="187" spans="1:4" x14ac:dyDescent="0.25">
      <c r="A187" s="21">
        <v>15</v>
      </c>
      <c r="B187" s="21" t="s">
        <v>36</v>
      </c>
      <c r="C187" s="21" t="s">
        <v>235</v>
      </c>
      <c r="D187" s="21" t="s">
        <v>239</v>
      </c>
    </row>
    <row r="188" spans="1:4" x14ac:dyDescent="0.25">
      <c r="A188" s="21">
        <v>15</v>
      </c>
      <c r="B188" s="21" t="s">
        <v>36</v>
      </c>
      <c r="C188" s="21" t="s">
        <v>235</v>
      </c>
      <c r="D188" s="21" t="s">
        <v>240</v>
      </c>
    </row>
    <row r="189" spans="1:4" x14ac:dyDescent="0.25">
      <c r="A189" s="21">
        <v>15</v>
      </c>
      <c r="B189" s="21" t="s">
        <v>36</v>
      </c>
      <c r="C189" s="21" t="s">
        <v>235</v>
      </c>
      <c r="D189" s="21" t="s">
        <v>71</v>
      </c>
    </row>
    <row r="190" spans="1:4" x14ac:dyDescent="0.25">
      <c r="A190" s="21">
        <v>15</v>
      </c>
      <c r="B190" s="21" t="s">
        <v>36</v>
      </c>
      <c r="C190" s="21" t="s">
        <v>235</v>
      </c>
      <c r="D190" s="21" t="s">
        <v>241</v>
      </c>
    </row>
    <row r="191" spans="1:4" x14ac:dyDescent="0.25">
      <c r="A191" s="22">
        <v>16</v>
      </c>
      <c r="B191" s="22" t="s">
        <v>37</v>
      </c>
      <c r="C191" s="22" t="s">
        <v>150</v>
      </c>
      <c r="D191" s="22" t="s">
        <v>113</v>
      </c>
    </row>
    <row r="192" spans="1:4" x14ac:dyDescent="0.25">
      <c r="A192" s="22">
        <v>16</v>
      </c>
      <c r="B192" s="22" t="s">
        <v>37</v>
      </c>
      <c r="C192" s="22" t="s">
        <v>150</v>
      </c>
      <c r="D192" s="22" t="s">
        <v>242</v>
      </c>
    </row>
    <row r="193" spans="1:4" x14ac:dyDescent="0.25">
      <c r="A193" s="22">
        <v>16</v>
      </c>
      <c r="B193" s="22" t="s">
        <v>37</v>
      </c>
      <c r="C193" s="22" t="s">
        <v>150</v>
      </c>
      <c r="D193" s="22" t="s">
        <v>243</v>
      </c>
    </row>
    <row r="194" spans="1:4" x14ac:dyDescent="0.25">
      <c r="A194" s="22">
        <v>16</v>
      </c>
      <c r="B194" s="22" t="s">
        <v>37</v>
      </c>
      <c r="C194" s="22" t="s">
        <v>150</v>
      </c>
      <c r="D194" s="22" t="s">
        <v>244</v>
      </c>
    </row>
    <row r="195" spans="1:4" x14ac:dyDescent="0.25">
      <c r="A195" s="22">
        <v>16</v>
      </c>
      <c r="B195" s="22" t="s">
        <v>37</v>
      </c>
      <c r="C195" s="22" t="s">
        <v>150</v>
      </c>
      <c r="D195" s="22" t="s">
        <v>245</v>
      </c>
    </row>
    <row r="196" spans="1:4" x14ac:dyDescent="0.25">
      <c r="A196" s="22">
        <v>16</v>
      </c>
      <c r="B196" s="22" t="s">
        <v>37</v>
      </c>
      <c r="C196" s="22" t="s">
        <v>150</v>
      </c>
      <c r="D196" s="22" t="s">
        <v>246</v>
      </c>
    </row>
    <row r="197" spans="1:4" x14ac:dyDescent="0.25">
      <c r="A197" s="22">
        <v>16</v>
      </c>
      <c r="B197" s="22" t="s">
        <v>37</v>
      </c>
      <c r="C197" s="22" t="s">
        <v>150</v>
      </c>
      <c r="D197" s="22" t="s">
        <v>247</v>
      </c>
    </row>
    <row r="198" spans="1:4" x14ac:dyDescent="0.25">
      <c r="A198" s="22">
        <v>16</v>
      </c>
      <c r="B198" s="22" t="s">
        <v>37</v>
      </c>
      <c r="C198" s="22" t="s">
        <v>150</v>
      </c>
      <c r="D198" s="22" t="s">
        <v>248</v>
      </c>
    </row>
    <row r="199" spans="1:4" x14ac:dyDescent="0.25">
      <c r="A199" s="22">
        <v>16</v>
      </c>
      <c r="B199" s="22" t="s">
        <v>37</v>
      </c>
      <c r="C199" s="22" t="s">
        <v>150</v>
      </c>
      <c r="D199" s="22" t="s">
        <v>249</v>
      </c>
    </row>
    <row r="200" spans="1:4" x14ac:dyDescent="0.25">
      <c r="A200" s="21">
        <v>17</v>
      </c>
      <c r="B200" s="21" t="s">
        <v>38</v>
      </c>
      <c r="C200" s="21" t="s">
        <v>150</v>
      </c>
      <c r="D200" s="21" t="s">
        <v>250</v>
      </c>
    </row>
    <row r="201" spans="1:4" x14ac:dyDescent="0.25">
      <c r="A201" s="21">
        <v>17</v>
      </c>
      <c r="B201" s="21" t="s">
        <v>38</v>
      </c>
      <c r="C201" s="21" t="s">
        <v>150</v>
      </c>
      <c r="D201" s="21" t="s">
        <v>234</v>
      </c>
    </row>
    <row r="202" spans="1:4" x14ac:dyDescent="0.25">
      <c r="A202" s="21">
        <v>17</v>
      </c>
      <c r="B202" s="21" t="s">
        <v>38</v>
      </c>
      <c r="C202" s="21" t="s">
        <v>150</v>
      </c>
      <c r="D202" s="21" t="s">
        <v>251</v>
      </c>
    </row>
    <row r="203" spans="1:4" x14ac:dyDescent="0.25">
      <c r="A203" s="21">
        <v>17</v>
      </c>
      <c r="B203" s="21" t="s">
        <v>38</v>
      </c>
      <c r="C203" s="21" t="s">
        <v>150</v>
      </c>
      <c r="D203" s="21" t="s">
        <v>252</v>
      </c>
    </row>
    <row r="204" spans="1:4" x14ac:dyDescent="0.25">
      <c r="A204" s="21">
        <v>17</v>
      </c>
      <c r="B204" s="21" t="s">
        <v>38</v>
      </c>
      <c r="C204" s="21" t="s">
        <v>150</v>
      </c>
      <c r="D204" s="21" t="s">
        <v>253</v>
      </c>
    </row>
    <row r="205" spans="1:4" x14ac:dyDescent="0.25">
      <c r="A205" s="21">
        <v>17</v>
      </c>
      <c r="B205" s="21" t="s">
        <v>38</v>
      </c>
      <c r="C205" s="21" t="s">
        <v>150</v>
      </c>
      <c r="D205" s="21" t="s">
        <v>254</v>
      </c>
    </row>
    <row r="206" spans="1:4" x14ac:dyDescent="0.25">
      <c r="A206" s="21">
        <v>17</v>
      </c>
      <c r="B206" s="21" t="s">
        <v>38</v>
      </c>
      <c r="C206" s="21" t="s">
        <v>150</v>
      </c>
      <c r="D206" s="21" t="s">
        <v>255</v>
      </c>
    </row>
    <row r="207" spans="1:4" x14ac:dyDescent="0.25">
      <c r="A207" s="21">
        <v>17</v>
      </c>
      <c r="B207" s="21" t="s">
        <v>38</v>
      </c>
      <c r="C207" s="21" t="s">
        <v>150</v>
      </c>
      <c r="D207" s="21" t="s">
        <v>113</v>
      </c>
    </row>
    <row r="208" spans="1:4" x14ac:dyDescent="0.25">
      <c r="A208" s="21">
        <v>17</v>
      </c>
      <c r="B208" s="21" t="s">
        <v>38</v>
      </c>
      <c r="C208" s="21" t="s">
        <v>150</v>
      </c>
      <c r="D208" s="21" t="s">
        <v>256</v>
      </c>
    </row>
    <row r="209" spans="1:4" x14ac:dyDescent="0.25">
      <c r="A209" s="21">
        <v>17</v>
      </c>
      <c r="B209" s="21" t="s">
        <v>38</v>
      </c>
      <c r="C209" s="21" t="s">
        <v>150</v>
      </c>
      <c r="D209" s="21" t="s">
        <v>257</v>
      </c>
    </row>
    <row r="210" spans="1:4" x14ac:dyDescent="0.25">
      <c r="A210" s="21">
        <v>17</v>
      </c>
      <c r="B210" s="21" t="s">
        <v>38</v>
      </c>
      <c r="C210" s="21" t="s">
        <v>150</v>
      </c>
      <c r="D210" s="21" t="s">
        <v>258</v>
      </c>
    </row>
    <row r="211" spans="1:4" x14ac:dyDescent="0.25">
      <c r="A211" s="22">
        <v>18</v>
      </c>
      <c r="B211" s="22" t="s">
        <v>39</v>
      </c>
      <c r="C211" s="22" t="s">
        <v>150</v>
      </c>
      <c r="D211" s="22" t="s">
        <v>259</v>
      </c>
    </row>
    <row r="212" spans="1:4" x14ac:dyDescent="0.25">
      <c r="A212" s="22">
        <v>18</v>
      </c>
      <c r="B212" s="22" t="s">
        <v>39</v>
      </c>
      <c r="C212" s="22" t="s">
        <v>150</v>
      </c>
      <c r="D212" s="22" t="s">
        <v>116</v>
      </c>
    </row>
    <row r="213" spans="1:4" x14ac:dyDescent="0.25">
      <c r="A213" s="22">
        <v>18</v>
      </c>
      <c r="B213" s="22" t="s">
        <v>39</v>
      </c>
      <c r="C213" s="22" t="s">
        <v>150</v>
      </c>
      <c r="D213" s="22" t="s">
        <v>76</v>
      </c>
    </row>
    <row r="214" spans="1:4" x14ac:dyDescent="0.25">
      <c r="A214" s="22">
        <v>18</v>
      </c>
      <c r="B214" s="22" t="s">
        <v>39</v>
      </c>
      <c r="C214" s="22" t="s">
        <v>150</v>
      </c>
      <c r="D214" s="22" t="s">
        <v>109</v>
      </c>
    </row>
    <row r="215" spans="1:4" x14ac:dyDescent="0.25">
      <c r="A215" s="22">
        <v>18</v>
      </c>
      <c r="B215" s="22" t="s">
        <v>39</v>
      </c>
      <c r="C215" s="22" t="s">
        <v>150</v>
      </c>
      <c r="D215" s="22" t="s">
        <v>260</v>
      </c>
    </row>
    <row r="216" spans="1:4" x14ac:dyDescent="0.25">
      <c r="A216" s="22">
        <v>18</v>
      </c>
      <c r="B216" s="22" t="s">
        <v>39</v>
      </c>
      <c r="C216" s="22" t="s">
        <v>150</v>
      </c>
      <c r="D216" s="22" t="s">
        <v>64</v>
      </c>
    </row>
    <row r="217" spans="1:4" x14ac:dyDescent="0.25">
      <c r="A217" s="22">
        <v>18</v>
      </c>
      <c r="B217" s="22" t="s">
        <v>39</v>
      </c>
      <c r="C217" s="22" t="s">
        <v>150</v>
      </c>
      <c r="D217" s="22" t="s">
        <v>261</v>
      </c>
    </row>
    <row r="218" spans="1:4" x14ac:dyDescent="0.25">
      <c r="A218" s="22">
        <v>18</v>
      </c>
      <c r="B218" s="22" t="s">
        <v>39</v>
      </c>
      <c r="C218" s="22" t="s">
        <v>150</v>
      </c>
      <c r="D218" s="22" t="s">
        <v>262</v>
      </c>
    </row>
    <row r="219" spans="1:4" x14ac:dyDescent="0.25">
      <c r="A219" s="22">
        <v>18</v>
      </c>
      <c r="B219" s="22" t="s">
        <v>39</v>
      </c>
      <c r="C219" s="22" t="s">
        <v>150</v>
      </c>
      <c r="D219" s="22" t="s">
        <v>255</v>
      </c>
    </row>
    <row r="220" spans="1:4" x14ac:dyDescent="0.25">
      <c r="A220" s="22">
        <v>18</v>
      </c>
      <c r="B220" s="22" t="s">
        <v>39</v>
      </c>
      <c r="C220" s="22" t="s">
        <v>150</v>
      </c>
      <c r="D220" s="22" t="s">
        <v>263</v>
      </c>
    </row>
    <row r="221" spans="1:4" x14ac:dyDescent="0.25">
      <c r="A221" s="21">
        <v>19</v>
      </c>
      <c r="B221" s="21" t="s">
        <v>40</v>
      </c>
      <c r="C221" s="21" t="s">
        <v>72</v>
      </c>
      <c r="D221" s="21" t="s">
        <v>264</v>
      </c>
    </row>
    <row r="222" spans="1:4" x14ac:dyDescent="0.25">
      <c r="A222" s="21">
        <v>19</v>
      </c>
      <c r="B222" s="21" t="s">
        <v>40</v>
      </c>
      <c r="C222" s="21" t="s">
        <v>72</v>
      </c>
      <c r="D222" s="21" t="s">
        <v>265</v>
      </c>
    </row>
    <row r="223" spans="1:4" x14ac:dyDescent="0.25">
      <c r="A223" s="21">
        <v>19</v>
      </c>
      <c r="B223" s="21" t="s">
        <v>40</v>
      </c>
      <c r="C223" s="21" t="s">
        <v>72</v>
      </c>
      <c r="D223" s="21" t="s">
        <v>266</v>
      </c>
    </row>
    <row r="224" spans="1:4" x14ac:dyDescent="0.25">
      <c r="A224" s="21">
        <v>19</v>
      </c>
      <c r="B224" s="21" t="s">
        <v>40</v>
      </c>
      <c r="C224" s="21" t="s">
        <v>72</v>
      </c>
      <c r="D224" s="21" t="s">
        <v>267</v>
      </c>
    </row>
    <row r="225" spans="1:4" x14ac:dyDescent="0.25">
      <c r="A225" s="21">
        <v>19</v>
      </c>
      <c r="B225" s="21" t="s">
        <v>40</v>
      </c>
      <c r="C225" s="21" t="s">
        <v>72</v>
      </c>
      <c r="D225" s="21" t="s">
        <v>268</v>
      </c>
    </row>
    <row r="226" spans="1:4" x14ac:dyDescent="0.25">
      <c r="A226" s="21">
        <v>19</v>
      </c>
      <c r="B226" s="21" t="s">
        <v>40</v>
      </c>
      <c r="C226" s="21" t="s">
        <v>72</v>
      </c>
      <c r="D226" s="21" t="s">
        <v>269</v>
      </c>
    </row>
    <row r="227" spans="1:4" x14ac:dyDescent="0.25">
      <c r="A227" s="21">
        <v>19</v>
      </c>
      <c r="B227" s="21" t="s">
        <v>40</v>
      </c>
      <c r="C227" s="21" t="s">
        <v>72</v>
      </c>
      <c r="D227" s="21" t="s">
        <v>77</v>
      </c>
    </row>
    <row r="228" spans="1:4" x14ac:dyDescent="0.25">
      <c r="A228" s="21">
        <v>19</v>
      </c>
      <c r="B228" s="21" t="s">
        <v>40</v>
      </c>
      <c r="C228" s="21" t="s">
        <v>173</v>
      </c>
      <c r="D228" s="21" t="s">
        <v>191</v>
      </c>
    </row>
    <row r="229" spans="1:4" x14ac:dyDescent="0.25">
      <c r="A229" s="22">
        <v>20</v>
      </c>
      <c r="B229" s="22" t="s">
        <v>41</v>
      </c>
      <c r="C229" s="22" t="s">
        <v>72</v>
      </c>
      <c r="D229" s="22" t="s">
        <v>270</v>
      </c>
    </row>
    <row r="230" spans="1:4" x14ac:dyDescent="0.25">
      <c r="A230" s="22">
        <v>20</v>
      </c>
      <c r="B230" s="22" t="s">
        <v>41</v>
      </c>
      <c r="C230" s="22" t="s">
        <v>72</v>
      </c>
      <c r="D230" s="22" t="s">
        <v>271</v>
      </c>
    </row>
    <row r="231" spans="1:4" x14ac:dyDescent="0.25">
      <c r="A231" s="22">
        <v>20</v>
      </c>
      <c r="B231" s="22" t="s">
        <v>41</v>
      </c>
      <c r="C231" s="22" t="s">
        <v>72</v>
      </c>
      <c r="D231" s="22" t="s">
        <v>272</v>
      </c>
    </row>
    <row r="232" spans="1:4" x14ac:dyDescent="0.25">
      <c r="A232" s="22">
        <v>20</v>
      </c>
      <c r="B232" s="22" t="s">
        <v>41</v>
      </c>
      <c r="C232" s="22" t="s">
        <v>72</v>
      </c>
      <c r="D232" s="22" t="s">
        <v>273</v>
      </c>
    </row>
    <row r="233" spans="1:4" x14ac:dyDescent="0.25">
      <c r="A233" s="22">
        <v>20</v>
      </c>
      <c r="B233" s="22" t="s">
        <v>41</v>
      </c>
      <c r="C233" s="22" t="s">
        <v>72</v>
      </c>
      <c r="D233" s="22" t="s">
        <v>186</v>
      </c>
    </row>
    <row r="234" spans="1:4" x14ac:dyDescent="0.25">
      <c r="A234" s="22">
        <v>20</v>
      </c>
      <c r="B234" s="22" t="s">
        <v>41</v>
      </c>
      <c r="C234" s="22" t="s">
        <v>72</v>
      </c>
      <c r="D234" s="22" t="s">
        <v>274</v>
      </c>
    </row>
    <row r="235" spans="1:4" x14ac:dyDescent="0.25">
      <c r="A235" s="22">
        <v>20</v>
      </c>
      <c r="B235" s="22" t="s">
        <v>41</v>
      </c>
      <c r="C235" s="22" t="s">
        <v>72</v>
      </c>
      <c r="D235" s="22" t="s">
        <v>250</v>
      </c>
    </row>
    <row r="236" spans="1:4" x14ac:dyDescent="0.25">
      <c r="A236" s="22">
        <v>20</v>
      </c>
      <c r="B236" s="22" t="s">
        <v>41</v>
      </c>
      <c r="C236" s="22" t="s">
        <v>72</v>
      </c>
      <c r="D236" s="22" t="s">
        <v>275</v>
      </c>
    </row>
    <row r="237" spans="1:4" x14ac:dyDescent="0.25">
      <c r="A237" s="22">
        <v>20</v>
      </c>
      <c r="B237" s="22" t="s">
        <v>41</v>
      </c>
      <c r="C237" s="22" t="s">
        <v>72</v>
      </c>
      <c r="D237" s="22" t="s">
        <v>234</v>
      </c>
    </row>
    <row r="238" spans="1:4" x14ac:dyDescent="0.25">
      <c r="A238" s="22">
        <v>20</v>
      </c>
      <c r="B238" s="22" t="s">
        <v>41</v>
      </c>
      <c r="C238" s="22" t="s">
        <v>72</v>
      </c>
      <c r="D238" s="22" t="s">
        <v>76</v>
      </c>
    </row>
    <row r="239" spans="1:4" x14ac:dyDescent="0.25">
      <c r="A239" s="22">
        <v>20</v>
      </c>
      <c r="B239" s="22" t="s">
        <v>41</v>
      </c>
      <c r="C239" s="22" t="s">
        <v>173</v>
      </c>
      <c r="D239" s="22" t="s">
        <v>276</v>
      </c>
    </row>
    <row r="240" spans="1:4" x14ac:dyDescent="0.25">
      <c r="A240" s="22">
        <v>20</v>
      </c>
      <c r="B240" s="22" t="s">
        <v>41</v>
      </c>
      <c r="C240" s="22" t="s">
        <v>173</v>
      </c>
      <c r="D240" s="22" t="s">
        <v>277</v>
      </c>
    </row>
    <row r="241" spans="1:4" x14ac:dyDescent="0.25">
      <c r="A241" s="21">
        <v>21</v>
      </c>
      <c r="B241" s="21" t="s">
        <v>42</v>
      </c>
      <c r="C241" s="21" t="s">
        <v>72</v>
      </c>
      <c r="D241" s="21" t="s">
        <v>278</v>
      </c>
    </row>
    <row r="242" spans="1:4" x14ac:dyDescent="0.25">
      <c r="A242" s="21">
        <v>21</v>
      </c>
      <c r="B242" s="21" t="s">
        <v>42</v>
      </c>
      <c r="C242" s="21" t="s">
        <v>72</v>
      </c>
      <c r="D242" s="21" t="s">
        <v>270</v>
      </c>
    </row>
    <row r="243" spans="1:4" x14ac:dyDescent="0.25">
      <c r="A243" s="21">
        <v>21</v>
      </c>
      <c r="B243" s="21" t="s">
        <v>42</v>
      </c>
      <c r="C243" s="21" t="s">
        <v>72</v>
      </c>
      <c r="D243" s="21" t="s">
        <v>251</v>
      </c>
    </row>
    <row r="244" spans="1:4" x14ac:dyDescent="0.25">
      <c r="A244" s="21">
        <v>21</v>
      </c>
      <c r="B244" s="21" t="s">
        <v>42</v>
      </c>
      <c r="C244" s="21" t="s">
        <v>173</v>
      </c>
      <c r="D244" s="21" t="s">
        <v>279</v>
      </c>
    </row>
    <row r="245" spans="1:4" x14ac:dyDescent="0.25">
      <c r="A245" s="21">
        <v>21</v>
      </c>
      <c r="B245" s="21" t="s">
        <v>42</v>
      </c>
      <c r="C245" s="21" t="s">
        <v>173</v>
      </c>
      <c r="D245" s="21" t="s">
        <v>172</v>
      </c>
    </row>
    <row r="246" spans="1:4" x14ac:dyDescent="0.25">
      <c r="A246" s="21">
        <v>21</v>
      </c>
      <c r="B246" s="21" t="s">
        <v>42</v>
      </c>
      <c r="C246" s="21" t="s">
        <v>173</v>
      </c>
      <c r="D246" s="21" t="s">
        <v>113</v>
      </c>
    </row>
    <row r="247" spans="1:4" x14ac:dyDescent="0.25">
      <c r="A247" s="21">
        <v>21</v>
      </c>
      <c r="B247" s="21" t="s">
        <v>42</v>
      </c>
      <c r="C247" s="21" t="s">
        <v>173</v>
      </c>
      <c r="D247" s="21" t="s">
        <v>191</v>
      </c>
    </row>
    <row r="248" spans="1:4" x14ac:dyDescent="0.25">
      <c r="A248" s="22">
        <v>22</v>
      </c>
      <c r="B248" s="22" t="s">
        <v>43</v>
      </c>
      <c r="C248" s="22" t="s">
        <v>280</v>
      </c>
      <c r="D248" s="22" t="s">
        <v>281</v>
      </c>
    </row>
    <row r="249" spans="1:4" x14ac:dyDescent="0.25">
      <c r="A249" s="22">
        <v>22</v>
      </c>
      <c r="B249" s="22" t="s">
        <v>43</v>
      </c>
      <c r="C249" s="22" t="s">
        <v>280</v>
      </c>
      <c r="D249" s="22" t="s">
        <v>282</v>
      </c>
    </row>
    <row r="250" spans="1:4" x14ac:dyDescent="0.25">
      <c r="A250" s="22">
        <v>22</v>
      </c>
      <c r="B250" s="22" t="s">
        <v>43</v>
      </c>
      <c r="C250" s="22" t="s">
        <v>280</v>
      </c>
      <c r="D250" s="22" t="s">
        <v>283</v>
      </c>
    </row>
    <row r="251" spans="1:4" x14ac:dyDescent="0.25">
      <c r="A251" s="22">
        <v>22</v>
      </c>
      <c r="B251" s="22" t="s">
        <v>43</v>
      </c>
      <c r="C251" s="22" t="s">
        <v>280</v>
      </c>
      <c r="D251" s="22" t="s">
        <v>284</v>
      </c>
    </row>
    <row r="252" spans="1:4" x14ac:dyDescent="0.25">
      <c r="A252" s="22">
        <v>22</v>
      </c>
      <c r="B252" s="22" t="s">
        <v>43</v>
      </c>
      <c r="C252" s="22" t="s">
        <v>280</v>
      </c>
      <c r="D252" s="22" t="s">
        <v>285</v>
      </c>
    </row>
    <row r="253" spans="1:4" x14ac:dyDescent="0.25">
      <c r="A253" s="22">
        <v>22</v>
      </c>
      <c r="B253" s="22" t="s">
        <v>43</v>
      </c>
      <c r="C253" s="22" t="s">
        <v>286</v>
      </c>
      <c r="D253" s="22" t="s">
        <v>287</v>
      </c>
    </row>
    <row r="254" spans="1:4" x14ac:dyDescent="0.25">
      <c r="A254" s="22">
        <v>22</v>
      </c>
      <c r="B254" s="22" t="s">
        <v>43</v>
      </c>
      <c r="C254" s="22" t="s">
        <v>286</v>
      </c>
      <c r="D254" s="22" t="s">
        <v>288</v>
      </c>
    </row>
    <row r="255" spans="1:4" x14ac:dyDescent="0.25">
      <c r="A255" s="22">
        <v>22</v>
      </c>
      <c r="B255" s="22" t="s">
        <v>43</v>
      </c>
      <c r="C255" s="22" t="s">
        <v>286</v>
      </c>
      <c r="D255" s="22" t="s">
        <v>289</v>
      </c>
    </row>
    <row r="256" spans="1:4" x14ac:dyDescent="0.25">
      <c r="A256" s="22">
        <v>22</v>
      </c>
      <c r="B256" s="22" t="s">
        <v>43</v>
      </c>
      <c r="C256" s="22" t="s">
        <v>286</v>
      </c>
      <c r="D256" s="22" t="s">
        <v>290</v>
      </c>
    </row>
    <row r="257" spans="1:4" x14ac:dyDescent="0.25">
      <c r="A257" s="22">
        <v>22</v>
      </c>
      <c r="B257" s="22" t="s">
        <v>43</v>
      </c>
      <c r="C257" s="22" t="s">
        <v>291</v>
      </c>
      <c r="D257" s="22" t="s">
        <v>292</v>
      </c>
    </row>
    <row r="258" spans="1:4" x14ac:dyDescent="0.25">
      <c r="A258" s="22">
        <v>22</v>
      </c>
      <c r="B258" s="22" t="s">
        <v>43</v>
      </c>
      <c r="C258" s="22" t="s">
        <v>291</v>
      </c>
      <c r="D258" s="22" t="s">
        <v>293</v>
      </c>
    </row>
    <row r="259" spans="1:4" x14ac:dyDescent="0.25">
      <c r="A259" s="22">
        <v>22</v>
      </c>
      <c r="B259" s="22" t="s">
        <v>43</v>
      </c>
      <c r="C259" s="22" t="s">
        <v>291</v>
      </c>
      <c r="D259" s="22" t="s">
        <v>294</v>
      </c>
    </row>
    <row r="260" spans="1:4" x14ac:dyDescent="0.25">
      <c r="A260" s="21">
        <v>23</v>
      </c>
      <c r="B260" s="21" t="s">
        <v>44</v>
      </c>
      <c r="C260" s="21" t="s">
        <v>72</v>
      </c>
      <c r="D260" s="21" t="s">
        <v>295</v>
      </c>
    </row>
    <row r="261" spans="1:4" x14ac:dyDescent="0.25">
      <c r="A261" s="21">
        <v>23</v>
      </c>
      <c r="B261" s="21" t="s">
        <v>44</v>
      </c>
      <c r="C261" s="21" t="s">
        <v>72</v>
      </c>
      <c r="D261" s="21" t="s">
        <v>209</v>
      </c>
    </row>
    <row r="262" spans="1:4" x14ac:dyDescent="0.25">
      <c r="A262" s="21">
        <v>23</v>
      </c>
      <c r="B262" s="21" t="s">
        <v>44</v>
      </c>
      <c r="C262" s="21" t="s">
        <v>72</v>
      </c>
      <c r="D262" s="21" t="s">
        <v>251</v>
      </c>
    </row>
    <row r="263" spans="1:4" x14ac:dyDescent="0.25">
      <c r="A263" s="21">
        <v>23</v>
      </c>
      <c r="B263" s="21" t="s">
        <v>44</v>
      </c>
      <c r="C263" s="21" t="s">
        <v>72</v>
      </c>
      <c r="D263" s="21" t="s">
        <v>296</v>
      </c>
    </row>
    <row r="264" spans="1:4" x14ac:dyDescent="0.25">
      <c r="A264" s="21">
        <v>23</v>
      </c>
      <c r="B264" s="21" t="s">
        <v>44</v>
      </c>
      <c r="C264" s="21" t="s">
        <v>72</v>
      </c>
      <c r="D264" s="21" t="s">
        <v>297</v>
      </c>
    </row>
    <row r="265" spans="1:4" x14ac:dyDescent="0.25">
      <c r="A265" s="21">
        <v>23</v>
      </c>
      <c r="B265" s="21" t="s">
        <v>44</v>
      </c>
      <c r="C265" s="21" t="s">
        <v>72</v>
      </c>
      <c r="D265" s="21" t="s">
        <v>298</v>
      </c>
    </row>
    <row r="266" spans="1:4" x14ac:dyDescent="0.25">
      <c r="A266" s="21">
        <v>23</v>
      </c>
      <c r="B266" s="21" t="s">
        <v>44</v>
      </c>
      <c r="C266" s="21" t="s">
        <v>72</v>
      </c>
      <c r="D266" s="21" t="s">
        <v>186</v>
      </c>
    </row>
    <row r="267" spans="1:4" x14ac:dyDescent="0.25">
      <c r="A267" s="21">
        <v>23</v>
      </c>
      <c r="B267" s="21" t="s">
        <v>44</v>
      </c>
      <c r="C267" s="21" t="s">
        <v>72</v>
      </c>
      <c r="D267" s="21" t="s">
        <v>83</v>
      </c>
    </row>
    <row r="268" spans="1:4" x14ac:dyDescent="0.25">
      <c r="A268" s="21">
        <v>23</v>
      </c>
      <c r="B268" s="21" t="s">
        <v>44</v>
      </c>
      <c r="C268" s="21" t="s">
        <v>72</v>
      </c>
      <c r="D268" s="21" t="s">
        <v>299</v>
      </c>
    </row>
    <row r="269" spans="1:4" x14ac:dyDescent="0.25">
      <c r="A269" s="21">
        <v>23</v>
      </c>
      <c r="B269" s="21" t="s">
        <v>44</v>
      </c>
      <c r="C269" s="21" t="s">
        <v>72</v>
      </c>
      <c r="D269" s="21" t="s">
        <v>300</v>
      </c>
    </row>
    <row r="270" spans="1:4" x14ac:dyDescent="0.25">
      <c r="A270" s="21">
        <v>23</v>
      </c>
      <c r="B270" s="21" t="s">
        <v>44</v>
      </c>
      <c r="C270" s="21" t="s">
        <v>72</v>
      </c>
      <c r="D270" s="21" t="s">
        <v>301</v>
      </c>
    </row>
    <row r="271" spans="1:4" x14ac:dyDescent="0.25">
      <c r="A271" s="21">
        <v>23</v>
      </c>
      <c r="B271" s="21" t="s">
        <v>44</v>
      </c>
      <c r="C271" s="21" t="s">
        <v>72</v>
      </c>
      <c r="D271" s="21" t="s">
        <v>302</v>
      </c>
    </row>
    <row r="272" spans="1:4" x14ac:dyDescent="0.25">
      <c r="A272" s="21">
        <v>23</v>
      </c>
      <c r="B272" s="21" t="s">
        <v>44</v>
      </c>
      <c r="C272" s="21" t="s">
        <v>72</v>
      </c>
      <c r="D272" s="21" t="s">
        <v>303</v>
      </c>
    </row>
    <row r="273" spans="1:4" x14ac:dyDescent="0.25">
      <c r="A273" s="21">
        <v>23</v>
      </c>
      <c r="B273" s="21" t="s">
        <v>44</v>
      </c>
      <c r="C273" s="21" t="s">
        <v>72</v>
      </c>
      <c r="D273" s="21" t="s">
        <v>304</v>
      </c>
    </row>
    <row r="274" spans="1:4" x14ac:dyDescent="0.25">
      <c r="A274" s="22">
        <v>24</v>
      </c>
      <c r="B274" s="22" t="s">
        <v>45</v>
      </c>
      <c r="C274" s="22" t="s">
        <v>305</v>
      </c>
      <c r="D274" s="22" t="s">
        <v>172</v>
      </c>
    </row>
    <row r="275" spans="1:4" x14ac:dyDescent="0.25">
      <c r="A275" s="22">
        <v>24</v>
      </c>
      <c r="B275" s="22" t="s">
        <v>45</v>
      </c>
      <c r="C275" s="22" t="s">
        <v>305</v>
      </c>
      <c r="D275" s="22" t="s">
        <v>306</v>
      </c>
    </row>
    <row r="276" spans="1:4" x14ac:dyDescent="0.25">
      <c r="A276" s="22">
        <v>24</v>
      </c>
      <c r="B276" s="22" t="s">
        <v>45</v>
      </c>
      <c r="C276" s="22" t="s">
        <v>305</v>
      </c>
      <c r="D276" s="22" t="s">
        <v>307</v>
      </c>
    </row>
    <row r="277" spans="1:4" x14ac:dyDescent="0.25">
      <c r="A277" s="22">
        <v>24</v>
      </c>
      <c r="B277" s="22" t="s">
        <v>45</v>
      </c>
      <c r="C277" s="22" t="s">
        <v>305</v>
      </c>
      <c r="D277" s="22" t="s">
        <v>308</v>
      </c>
    </row>
    <row r="278" spans="1:4" x14ac:dyDescent="0.25">
      <c r="A278" s="22">
        <v>24</v>
      </c>
      <c r="B278" s="22" t="s">
        <v>45</v>
      </c>
      <c r="C278" s="22" t="s">
        <v>305</v>
      </c>
      <c r="D278" s="22" t="s">
        <v>309</v>
      </c>
    </row>
    <row r="279" spans="1:4" x14ac:dyDescent="0.25">
      <c r="A279" s="22">
        <v>24</v>
      </c>
      <c r="B279" s="22" t="s">
        <v>45</v>
      </c>
      <c r="C279" s="22" t="s">
        <v>305</v>
      </c>
      <c r="D279" s="22" t="s">
        <v>310</v>
      </c>
    </row>
    <row r="280" spans="1:4" x14ac:dyDescent="0.25">
      <c r="A280" s="22">
        <v>24</v>
      </c>
      <c r="B280" s="22" t="s">
        <v>45</v>
      </c>
      <c r="C280" s="22" t="s">
        <v>305</v>
      </c>
      <c r="D280" s="22" t="s">
        <v>311</v>
      </c>
    </row>
    <row r="281" spans="1:4" x14ac:dyDescent="0.25">
      <c r="A281" s="22">
        <v>24</v>
      </c>
      <c r="B281" s="22" t="s">
        <v>45</v>
      </c>
      <c r="C281" s="22" t="s">
        <v>312</v>
      </c>
      <c r="D281" s="22" t="s">
        <v>313</v>
      </c>
    </row>
    <row r="282" spans="1:4" x14ac:dyDescent="0.25">
      <c r="A282" s="22">
        <v>24</v>
      </c>
      <c r="B282" s="22" t="s">
        <v>45</v>
      </c>
      <c r="C282" s="22" t="s">
        <v>312</v>
      </c>
      <c r="D282" s="22" t="s">
        <v>260</v>
      </c>
    </row>
    <row r="283" spans="1:4" x14ac:dyDescent="0.25">
      <c r="A283" s="22">
        <v>24</v>
      </c>
      <c r="B283" s="22" t="s">
        <v>45</v>
      </c>
      <c r="C283" s="22" t="s">
        <v>312</v>
      </c>
      <c r="D283" s="22" t="s">
        <v>314</v>
      </c>
    </row>
    <row r="284" spans="1:4" x14ac:dyDescent="0.25">
      <c r="A284" s="22">
        <v>24</v>
      </c>
      <c r="B284" s="22" t="s">
        <v>45</v>
      </c>
      <c r="C284" s="22" t="s">
        <v>312</v>
      </c>
      <c r="D284" s="22" t="s">
        <v>315</v>
      </c>
    </row>
    <row r="285" spans="1:4" x14ac:dyDescent="0.25">
      <c r="A285" s="22">
        <v>24</v>
      </c>
      <c r="B285" s="22" t="s">
        <v>45</v>
      </c>
      <c r="C285" s="22" t="s">
        <v>316</v>
      </c>
      <c r="D285" s="22" t="s">
        <v>317</v>
      </c>
    </row>
    <row r="286" spans="1:4" x14ac:dyDescent="0.25">
      <c r="A286" s="22">
        <v>24</v>
      </c>
      <c r="B286" s="22" t="s">
        <v>45</v>
      </c>
      <c r="C286" s="22" t="s">
        <v>316</v>
      </c>
      <c r="D286" s="22" t="s">
        <v>318</v>
      </c>
    </row>
    <row r="287" spans="1:4" x14ac:dyDescent="0.25">
      <c r="A287" s="22">
        <v>24</v>
      </c>
      <c r="B287" s="22" t="s">
        <v>45</v>
      </c>
      <c r="C287" s="22" t="s">
        <v>316</v>
      </c>
      <c r="D287" s="22" t="s">
        <v>319</v>
      </c>
    </row>
    <row r="288" spans="1:4" x14ac:dyDescent="0.25">
      <c r="A288" s="22">
        <v>24</v>
      </c>
      <c r="B288" s="22" t="s">
        <v>45</v>
      </c>
      <c r="C288" s="22" t="s">
        <v>316</v>
      </c>
      <c r="D288" s="22" t="s">
        <v>320</v>
      </c>
    </row>
    <row r="289" spans="1:4" x14ac:dyDescent="0.25">
      <c r="A289" s="21">
        <v>25</v>
      </c>
      <c r="B289" s="21" t="s">
        <v>46</v>
      </c>
      <c r="C289" s="21" t="s">
        <v>321</v>
      </c>
      <c r="D289" s="21" t="s">
        <v>322</v>
      </c>
    </row>
    <row r="290" spans="1:4" x14ac:dyDescent="0.25">
      <c r="A290" s="21">
        <v>25</v>
      </c>
      <c r="B290" s="21" t="s">
        <v>46</v>
      </c>
      <c r="C290" s="21" t="s">
        <v>321</v>
      </c>
      <c r="D290" s="21" t="s">
        <v>323</v>
      </c>
    </row>
    <row r="291" spans="1:4" x14ac:dyDescent="0.25">
      <c r="A291" s="21">
        <v>25</v>
      </c>
      <c r="B291" s="21" t="s">
        <v>46</v>
      </c>
      <c r="C291" s="21" t="s">
        <v>324</v>
      </c>
      <c r="D291" s="21" t="s">
        <v>325</v>
      </c>
    </row>
    <row r="292" spans="1:4" x14ac:dyDescent="0.25">
      <c r="A292" s="21">
        <v>25</v>
      </c>
      <c r="B292" s="21" t="s">
        <v>46</v>
      </c>
      <c r="C292" s="21" t="s">
        <v>324</v>
      </c>
      <c r="D292" s="21" t="s">
        <v>323</v>
      </c>
    </row>
    <row r="293" spans="1:4" x14ac:dyDescent="0.25">
      <c r="A293" s="21">
        <v>25</v>
      </c>
      <c r="B293" s="21" t="s">
        <v>46</v>
      </c>
      <c r="C293" s="21" t="s">
        <v>326</v>
      </c>
      <c r="D293" s="21" t="s">
        <v>327</v>
      </c>
    </row>
    <row r="294" spans="1:4" x14ac:dyDescent="0.25">
      <c r="A294" s="21">
        <v>25</v>
      </c>
      <c r="B294" s="21" t="s">
        <v>46</v>
      </c>
      <c r="C294" s="21" t="s">
        <v>326</v>
      </c>
      <c r="D294" s="21" t="s">
        <v>252</v>
      </c>
    </row>
    <row r="295" spans="1:4" x14ac:dyDescent="0.25">
      <c r="A295" s="21">
        <v>25</v>
      </c>
      <c r="B295" s="21" t="s">
        <v>46</v>
      </c>
      <c r="C295" s="21" t="s">
        <v>326</v>
      </c>
      <c r="D295" s="21" t="s">
        <v>328</v>
      </c>
    </row>
    <row r="296" spans="1:4" x14ac:dyDescent="0.25">
      <c r="A296" s="21">
        <v>25</v>
      </c>
      <c r="B296" s="21" t="s">
        <v>46</v>
      </c>
      <c r="C296" s="21" t="s">
        <v>326</v>
      </c>
      <c r="D296" s="21" t="s">
        <v>329</v>
      </c>
    </row>
    <row r="297" spans="1:4" x14ac:dyDescent="0.25">
      <c r="A297" s="22">
        <v>26</v>
      </c>
      <c r="B297" s="22" t="s">
        <v>47</v>
      </c>
      <c r="C297" s="22" t="s">
        <v>58</v>
      </c>
      <c r="D297" s="22" t="s">
        <v>75</v>
      </c>
    </row>
    <row r="298" spans="1:4" x14ac:dyDescent="0.25">
      <c r="A298" s="22">
        <v>26</v>
      </c>
      <c r="B298" s="22" t="s">
        <v>47</v>
      </c>
      <c r="C298" s="22" t="s">
        <v>72</v>
      </c>
      <c r="D298" s="22" t="s">
        <v>278</v>
      </c>
    </row>
    <row r="299" spans="1:4" x14ac:dyDescent="0.25">
      <c r="A299" s="22">
        <v>26</v>
      </c>
      <c r="B299" s="22" t="s">
        <v>47</v>
      </c>
      <c r="C299" s="22" t="s">
        <v>72</v>
      </c>
      <c r="D299" s="22" t="s">
        <v>330</v>
      </c>
    </row>
    <row r="300" spans="1:4" x14ac:dyDescent="0.25">
      <c r="A300" s="22">
        <v>26</v>
      </c>
      <c r="B300" s="22" t="s">
        <v>47</v>
      </c>
      <c r="C300" s="22" t="s">
        <v>72</v>
      </c>
      <c r="D300" s="22" t="s">
        <v>194</v>
      </c>
    </row>
    <row r="301" spans="1:4" x14ac:dyDescent="0.25">
      <c r="A301" s="22">
        <v>26</v>
      </c>
      <c r="B301" s="22" t="s">
        <v>47</v>
      </c>
      <c r="C301" s="22" t="s">
        <v>72</v>
      </c>
      <c r="D301" s="22" t="s">
        <v>331</v>
      </c>
    </row>
    <row r="302" spans="1:4" x14ac:dyDescent="0.25">
      <c r="A302" s="22">
        <v>26</v>
      </c>
      <c r="B302" s="22" t="s">
        <v>47</v>
      </c>
      <c r="C302" s="22" t="s">
        <v>72</v>
      </c>
      <c r="D302" s="22" t="s">
        <v>332</v>
      </c>
    </row>
    <row r="303" spans="1:4" x14ac:dyDescent="0.25">
      <c r="A303" s="22">
        <v>26</v>
      </c>
      <c r="B303" s="22" t="s">
        <v>47</v>
      </c>
      <c r="C303" s="22" t="s">
        <v>72</v>
      </c>
      <c r="D303" s="22" t="s">
        <v>333</v>
      </c>
    </row>
    <row r="304" spans="1:4" x14ac:dyDescent="0.25">
      <c r="A304" s="22">
        <v>26</v>
      </c>
      <c r="B304" s="22" t="s">
        <v>47</v>
      </c>
      <c r="C304" s="22" t="s">
        <v>72</v>
      </c>
      <c r="D304" s="22" t="s">
        <v>234</v>
      </c>
    </row>
    <row r="305" spans="1:4" x14ac:dyDescent="0.25">
      <c r="A305" s="22">
        <v>26</v>
      </c>
      <c r="B305" s="22" t="s">
        <v>47</v>
      </c>
      <c r="C305" s="22" t="s">
        <v>72</v>
      </c>
      <c r="D305" s="22" t="s">
        <v>334</v>
      </c>
    </row>
    <row r="306" spans="1:4" x14ac:dyDescent="0.25">
      <c r="A306" s="22">
        <v>26</v>
      </c>
      <c r="B306" s="22" t="s">
        <v>47</v>
      </c>
      <c r="C306" s="22" t="s">
        <v>335</v>
      </c>
      <c r="D306" s="22" t="s">
        <v>336</v>
      </c>
    </row>
    <row r="307" spans="1:4" x14ac:dyDescent="0.25">
      <c r="A307" s="22">
        <v>26</v>
      </c>
      <c r="B307" s="22" t="s">
        <v>47</v>
      </c>
      <c r="C307" s="22" t="s">
        <v>335</v>
      </c>
      <c r="D307" s="22" t="s">
        <v>337</v>
      </c>
    </row>
    <row r="308" spans="1:4" x14ac:dyDescent="0.25">
      <c r="A308" s="22">
        <v>26</v>
      </c>
      <c r="B308" s="22" t="s">
        <v>47</v>
      </c>
      <c r="C308" s="22" t="s">
        <v>335</v>
      </c>
      <c r="D308" s="22" t="s">
        <v>338</v>
      </c>
    </row>
    <row r="309" spans="1:4" x14ac:dyDescent="0.25">
      <c r="A309" s="21">
        <v>27</v>
      </c>
      <c r="B309" s="21" t="s">
        <v>48</v>
      </c>
      <c r="C309" s="21" t="s">
        <v>312</v>
      </c>
      <c r="D309" s="21" t="s">
        <v>272</v>
      </c>
    </row>
    <row r="310" spans="1:4" x14ac:dyDescent="0.25">
      <c r="A310" s="21">
        <v>27</v>
      </c>
      <c r="B310" s="21" t="s">
        <v>48</v>
      </c>
      <c r="C310" s="21" t="s">
        <v>312</v>
      </c>
      <c r="D310" s="21" t="s">
        <v>339</v>
      </c>
    </row>
    <row r="311" spans="1:4" x14ac:dyDescent="0.25">
      <c r="A311" s="21">
        <v>27</v>
      </c>
      <c r="B311" s="21" t="s">
        <v>48</v>
      </c>
      <c r="C311" s="21" t="s">
        <v>312</v>
      </c>
      <c r="D311" s="21" t="s">
        <v>340</v>
      </c>
    </row>
    <row r="312" spans="1:4" x14ac:dyDescent="0.25">
      <c r="A312" s="21">
        <v>27</v>
      </c>
      <c r="B312" s="21" t="s">
        <v>48</v>
      </c>
      <c r="C312" s="21" t="s">
        <v>341</v>
      </c>
      <c r="D312" s="21" t="s">
        <v>342</v>
      </c>
    </row>
    <row r="313" spans="1:4" x14ac:dyDescent="0.25">
      <c r="A313" s="21">
        <v>27</v>
      </c>
      <c r="B313" s="21" t="s">
        <v>48</v>
      </c>
      <c r="C313" s="21" t="s">
        <v>341</v>
      </c>
      <c r="D313" s="21" t="s">
        <v>129</v>
      </c>
    </row>
    <row r="314" spans="1:4" x14ac:dyDescent="0.25">
      <c r="A314" s="21">
        <v>27</v>
      </c>
      <c r="B314" s="21" t="s">
        <v>48</v>
      </c>
      <c r="C314" s="21" t="s">
        <v>341</v>
      </c>
      <c r="D314" s="21" t="s">
        <v>343</v>
      </c>
    </row>
    <row r="315" spans="1:4" x14ac:dyDescent="0.25">
      <c r="A315" s="21">
        <v>27</v>
      </c>
      <c r="B315" s="21" t="s">
        <v>48</v>
      </c>
      <c r="C315" s="21" t="s">
        <v>344</v>
      </c>
      <c r="D315" s="21" t="s">
        <v>345</v>
      </c>
    </row>
    <row r="316" spans="1:4" x14ac:dyDescent="0.25">
      <c r="A316" s="21">
        <v>27</v>
      </c>
      <c r="B316" s="21" t="s">
        <v>48</v>
      </c>
      <c r="C316" s="21" t="s">
        <v>123</v>
      </c>
      <c r="D316" s="21" t="s">
        <v>346</v>
      </c>
    </row>
    <row r="317" spans="1:4" x14ac:dyDescent="0.25">
      <c r="A317" s="21">
        <v>27</v>
      </c>
      <c r="B317" s="21" t="s">
        <v>48</v>
      </c>
      <c r="C317" s="21" t="s">
        <v>123</v>
      </c>
      <c r="D317" s="21" t="s">
        <v>347</v>
      </c>
    </row>
    <row r="318" spans="1:4" x14ac:dyDescent="0.25">
      <c r="A318" s="21">
        <v>27</v>
      </c>
      <c r="B318" s="21" t="s">
        <v>48</v>
      </c>
      <c r="C318" s="21" t="s">
        <v>123</v>
      </c>
      <c r="D318" s="21" t="s">
        <v>348</v>
      </c>
    </row>
    <row r="319" spans="1:4" x14ac:dyDescent="0.25">
      <c r="A319" s="21">
        <v>27</v>
      </c>
      <c r="B319" s="21" t="s">
        <v>48</v>
      </c>
      <c r="C319" s="21" t="s">
        <v>123</v>
      </c>
      <c r="D319" s="21" t="s">
        <v>349</v>
      </c>
    </row>
    <row r="320" spans="1:4" x14ac:dyDescent="0.25">
      <c r="A320" s="21">
        <v>27</v>
      </c>
      <c r="B320" s="21" t="s">
        <v>48</v>
      </c>
      <c r="C320" s="21" t="s">
        <v>123</v>
      </c>
      <c r="D320" s="21" t="s">
        <v>350</v>
      </c>
    </row>
    <row r="321" spans="1:4" x14ac:dyDescent="0.25">
      <c r="A321" s="21">
        <v>27</v>
      </c>
      <c r="B321" s="21" t="s">
        <v>48</v>
      </c>
      <c r="C321" s="21" t="s">
        <v>204</v>
      </c>
      <c r="D321" s="21" t="s">
        <v>351</v>
      </c>
    </row>
    <row r="322" spans="1:4" x14ac:dyDescent="0.25">
      <c r="A322" s="21">
        <v>27</v>
      </c>
      <c r="B322" s="21" t="s">
        <v>48</v>
      </c>
      <c r="C322" s="21" t="s">
        <v>204</v>
      </c>
      <c r="D322" s="21" t="s">
        <v>352</v>
      </c>
    </row>
    <row r="323" spans="1:4" x14ac:dyDescent="0.25">
      <c r="A323" s="21">
        <v>27</v>
      </c>
      <c r="B323" s="21" t="s">
        <v>48</v>
      </c>
      <c r="C323" s="21" t="s">
        <v>204</v>
      </c>
      <c r="D323" s="21" t="s">
        <v>353</v>
      </c>
    </row>
    <row r="324" spans="1:4" x14ac:dyDescent="0.25">
      <c r="A324" s="21">
        <v>27</v>
      </c>
      <c r="B324" s="21" t="s">
        <v>48</v>
      </c>
      <c r="C324" s="21" t="s">
        <v>204</v>
      </c>
      <c r="D324" s="21" t="s">
        <v>354</v>
      </c>
    </row>
    <row r="325" spans="1:4" x14ac:dyDescent="0.25">
      <c r="A325" s="22">
        <v>28</v>
      </c>
      <c r="B325" s="22" t="s">
        <v>49</v>
      </c>
      <c r="C325" s="22" t="s">
        <v>72</v>
      </c>
      <c r="D325" s="22" t="s">
        <v>60</v>
      </c>
    </row>
    <row r="326" spans="1:4" x14ac:dyDescent="0.25">
      <c r="A326" s="22">
        <v>28</v>
      </c>
      <c r="B326" s="22" t="s">
        <v>49</v>
      </c>
      <c r="C326" s="22" t="s">
        <v>72</v>
      </c>
      <c r="D326" s="22" t="s">
        <v>355</v>
      </c>
    </row>
    <row r="327" spans="1:4" x14ac:dyDescent="0.25">
      <c r="A327" s="22">
        <v>28</v>
      </c>
      <c r="B327" s="22" t="s">
        <v>49</v>
      </c>
      <c r="C327" s="22" t="s">
        <v>72</v>
      </c>
      <c r="D327" s="22" t="s">
        <v>356</v>
      </c>
    </row>
    <row r="328" spans="1:4" x14ac:dyDescent="0.25">
      <c r="A328" s="22">
        <v>28</v>
      </c>
      <c r="B328" s="22" t="s">
        <v>49</v>
      </c>
      <c r="C328" s="22" t="s">
        <v>72</v>
      </c>
      <c r="D328" s="22" t="s">
        <v>279</v>
      </c>
    </row>
    <row r="329" spans="1:4" x14ac:dyDescent="0.25">
      <c r="A329" s="22">
        <v>28</v>
      </c>
      <c r="B329" s="22" t="s">
        <v>49</v>
      </c>
      <c r="C329" s="22" t="s">
        <v>357</v>
      </c>
      <c r="D329" s="22" t="s">
        <v>327</v>
      </c>
    </row>
    <row r="330" spans="1:4" x14ac:dyDescent="0.25">
      <c r="A330" s="22">
        <v>28</v>
      </c>
      <c r="B330" s="22" t="s">
        <v>49</v>
      </c>
      <c r="C330" s="22" t="s">
        <v>357</v>
      </c>
      <c r="D330" s="22" t="s">
        <v>252</v>
      </c>
    </row>
    <row r="331" spans="1:4" x14ac:dyDescent="0.25">
      <c r="A331" s="21">
        <v>29</v>
      </c>
      <c r="B331" s="21" t="s">
        <v>50</v>
      </c>
      <c r="C331" s="21" t="s">
        <v>72</v>
      </c>
      <c r="D331" s="21" t="s">
        <v>358</v>
      </c>
    </row>
    <row r="332" spans="1:4" x14ac:dyDescent="0.25">
      <c r="A332" s="21">
        <v>29</v>
      </c>
      <c r="B332" s="21" t="s">
        <v>50</v>
      </c>
      <c r="C332" s="21" t="s">
        <v>72</v>
      </c>
      <c r="D332" s="21" t="s">
        <v>60</v>
      </c>
    </row>
    <row r="333" spans="1:4" x14ac:dyDescent="0.25">
      <c r="A333" s="21">
        <v>29</v>
      </c>
      <c r="B333" s="21" t="s">
        <v>50</v>
      </c>
      <c r="C333" s="21" t="s">
        <v>72</v>
      </c>
      <c r="D333" s="21" t="s">
        <v>355</v>
      </c>
    </row>
    <row r="334" spans="1:4" x14ac:dyDescent="0.25">
      <c r="A334" s="21">
        <v>29</v>
      </c>
      <c r="B334" s="21" t="s">
        <v>50</v>
      </c>
      <c r="C334" s="21" t="s">
        <v>72</v>
      </c>
      <c r="D334" s="21" t="s">
        <v>109</v>
      </c>
    </row>
    <row r="335" spans="1:4" x14ac:dyDescent="0.25">
      <c r="A335" s="21">
        <v>29</v>
      </c>
      <c r="B335" s="21" t="s">
        <v>50</v>
      </c>
      <c r="C335" s="21" t="s">
        <v>173</v>
      </c>
      <c r="D335" s="21" t="s">
        <v>359</v>
      </c>
    </row>
    <row r="336" spans="1:4" x14ac:dyDescent="0.25">
      <c r="A336" s="21">
        <v>29</v>
      </c>
      <c r="B336" s="21" t="s">
        <v>50</v>
      </c>
      <c r="C336" s="21" t="s">
        <v>173</v>
      </c>
      <c r="D336" s="21" t="s">
        <v>360</v>
      </c>
    </row>
    <row r="337" spans="1:4" x14ac:dyDescent="0.25">
      <c r="A337" s="21">
        <v>29</v>
      </c>
      <c r="B337" s="21" t="s">
        <v>50</v>
      </c>
      <c r="C337" s="21" t="s">
        <v>173</v>
      </c>
      <c r="D337" s="21" t="s">
        <v>361</v>
      </c>
    </row>
    <row r="338" spans="1:4" x14ac:dyDescent="0.25">
      <c r="A338" s="22">
        <v>30</v>
      </c>
      <c r="B338" s="22" t="s">
        <v>51</v>
      </c>
      <c r="C338" s="22" t="s">
        <v>150</v>
      </c>
      <c r="D338" s="22" t="s">
        <v>279</v>
      </c>
    </row>
    <row r="339" spans="1:4" x14ac:dyDescent="0.25">
      <c r="A339" s="22">
        <v>30</v>
      </c>
      <c r="B339" s="22" t="s">
        <v>51</v>
      </c>
      <c r="C339" s="22" t="s">
        <v>150</v>
      </c>
      <c r="D339" s="22" t="s">
        <v>60</v>
      </c>
    </row>
    <row r="340" spans="1:4" x14ac:dyDescent="0.25">
      <c r="A340" s="22">
        <v>30</v>
      </c>
      <c r="B340" s="22" t="s">
        <v>51</v>
      </c>
      <c r="C340" s="22" t="s">
        <v>150</v>
      </c>
      <c r="D340" s="22" t="s">
        <v>355</v>
      </c>
    </row>
    <row r="341" spans="1:4" x14ac:dyDescent="0.25">
      <c r="A341" s="22">
        <v>30</v>
      </c>
      <c r="B341" s="22" t="s">
        <v>51</v>
      </c>
      <c r="C341" s="22" t="s">
        <v>150</v>
      </c>
      <c r="D341" s="22" t="s">
        <v>356</v>
      </c>
    </row>
    <row r="342" spans="1:4" x14ac:dyDescent="0.25">
      <c r="A342" s="22">
        <v>30</v>
      </c>
      <c r="B342" s="22" t="s">
        <v>51</v>
      </c>
      <c r="C342" s="22" t="s">
        <v>357</v>
      </c>
      <c r="D342" s="22" t="s">
        <v>362</v>
      </c>
    </row>
    <row r="343" spans="1:4" x14ac:dyDescent="0.25">
      <c r="A343" s="21">
        <v>31</v>
      </c>
      <c r="B343" s="21" t="s">
        <v>52</v>
      </c>
      <c r="C343" s="21" t="s">
        <v>72</v>
      </c>
      <c r="D343" s="21" t="s">
        <v>363</v>
      </c>
    </row>
    <row r="344" spans="1:4" x14ac:dyDescent="0.25">
      <c r="A344" s="21">
        <v>31</v>
      </c>
      <c r="B344" s="21" t="s">
        <v>52</v>
      </c>
      <c r="C344" s="21" t="s">
        <v>72</v>
      </c>
      <c r="D344" s="21" t="s">
        <v>272</v>
      </c>
    </row>
    <row r="345" spans="1:4" x14ac:dyDescent="0.25">
      <c r="A345" s="21">
        <v>31</v>
      </c>
      <c r="B345" s="21" t="s">
        <v>52</v>
      </c>
      <c r="C345" s="21" t="s">
        <v>72</v>
      </c>
      <c r="D345" s="21" t="s">
        <v>260</v>
      </c>
    </row>
    <row r="346" spans="1:4" x14ac:dyDescent="0.25">
      <c r="A346" s="21">
        <v>31</v>
      </c>
      <c r="B346" s="21" t="s">
        <v>52</v>
      </c>
      <c r="C346" s="21" t="s">
        <v>72</v>
      </c>
      <c r="D346" s="21" t="s">
        <v>364</v>
      </c>
    </row>
    <row r="347" spans="1:4" x14ac:dyDescent="0.25">
      <c r="A347" s="21">
        <v>31</v>
      </c>
      <c r="B347" s="21" t="s">
        <v>52</v>
      </c>
      <c r="C347" s="21" t="s">
        <v>72</v>
      </c>
      <c r="D347" s="21" t="s">
        <v>365</v>
      </c>
    </row>
    <row r="348" spans="1:4" x14ac:dyDescent="0.25">
      <c r="A348" s="21">
        <v>31</v>
      </c>
      <c r="B348" s="21" t="s">
        <v>52</v>
      </c>
      <c r="C348" s="21" t="s">
        <v>72</v>
      </c>
      <c r="D348" s="21" t="s">
        <v>366</v>
      </c>
    </row>
    <row r="349" spans="1:4" x14ac:dyDescent="0.25">
      <c r="A349" s="21">
        <v>31</v>
      </c>
      <c r="B349" s="21" t="s">
        <v>52</v>
      </c>
      <c r="C349" s="21" t="s">
        <v>367</v>
      </c>
      <c r="D349" s="21" t="s">
        <v>368</v>
      </c>
    </row>
    <row r="350" spans="1:4" x14ac:dyDescent="0.25">
      <c r="A350" s="22">
        <v>32</v>
      </c>
      <c r="B350" s="22" t="s">
        <v>53</v>
      </c>
      <c r="C350" s="22" t="s">
        <v>72</v>
      </c>
      <c r="D350" s="22" t="s">
        <v>113</v>
      </c>
    </row>
    <row r="351" spans="1:4" x14ac:dyDescent="0.25">
      <c r="A351" s="22">
        <v>32</v>
      </c>
      <c r="B351" s="22" t="s">
        <v>53</v>
      </c>
      <c r="C351" s="22" t="s">
        <v>72</v>
      </c>
      <c r="D351" s="22" t="s">
        <v>369</v>
      </c>
    </row>
    <row r="352" spans="1:4" x14ac:dyDescent="0.25">
      <c r="A352" s="22">
        <v>32</v>
      </c>
      <c r="B352" s="22" t="s">
        <v>53</v>
      </c>
      <c r="C352" s="22" t="s">
        <v>72</v>
      </c>
      <c r="D352" s="22" t="s">
        <v>370</v>
      </c>
    </row>
    <row r="353" spans="1:4" x14ac:dyDescent="0.25">
      <c r="A353" s="22">
        <v>32</v>
      </c>
      <c r="B353" s="22" t="s">
        <v>53</v>
      </c>
      <c r="C353" s="22" t="s">
        <v>72</v>
      </c>
      <c r="D353" s="22" t="s">
        <v>260</v>
      </c>
    </row>
    <row r="354" spans="1:4" x14ac:dyDescent="0.25">
      <c r="A354" s="22">
        <v>32</v>
      </c>
      <c r="B354" s="22" t="s">
        <v>53</v>
      </c>
      <c r="C354" s="22" t="s">
        <v>72</v>
      </c>
      <c r="D354" s="22" t="s">
        <v>270</v>
      </c>
    </row>
    <row r="355" spans="1:4" x14ac:dyDescent="0.25">
      <c r="A355" s="22">
        <v>32</v>
      </c>
      <c r="B355" s="22" t="s">
        <v>53</v>
      </c>
      <c r="C355" s="22" t="s">
        <v>72</v>
      </c>
      <c r="D355" s="22" t="s">
        <v>186</v>
      </c>
    </row>
    <row r="356" spans="1:4" x14ac:dyDescent="0.25">
      <c r="A356" s="22">
        <v>32</v>
      </c>
      <c r="B356" s="22" t="s">
        <v>53</v>
      </c>
      <c r="C356" s="22" t="s">
        <v>72</v>
      </c>
      <c r="D356" s="22" t="s">
        <v>333</v>
      </c>
    </row>
    <row r="357" spans="1:4" x14ac:dyDescent="0.25">
      <c r="A357" s="22">
        <v>32</v>
      </c>
      <c r="B357" s="22" t="s">
        <v>53</v>
      </c>
      <c r="C357" s="22" t="s">
        <v>72</v>
      </c>
      <c r="D357" s="22" t="s">
        <v>59</v>
      </c>
    </row>
    <row r="358" spans="1:4" x14ac:dyDescent="0.25">
      <c r="A358" s="22">
        <v>32</v>
      </c>
      <c r="B358" s="22" t="s">
        <v>53</v>
      </c>
      <c r="C358" s="22" t="s">
        <v>173</v>
      </c>
      <c r="D358" s="22" t="s">
        <v>371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Instrucciones</vt:lpstr>
      <vt:lpstr>Calculadora de Precios</vt:lpstr>
      <vt:lpstr>Detalle de Ingredientes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Usuario</cp:lastModifiedBy>
  <cp:revision>0</cp:revision>
  <dcterms:created xsi:type="dcterms:W3CDTF">2026-08-09T21:51:49Z</dcterms:created>
  <dcterms:modified xsi:type="dcterms:W3CDTF">2026-08-09T22:02:45Z</dcterms:modified>
  <dc:language>en-US</dc:language>
</cp:coreProperties>
</file>